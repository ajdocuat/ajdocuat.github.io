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Svn\AlchemyJ_Sample_API\branches\Main\Source Codes\AlchemyJ\"/>
    </mc:Choice>
  </mc:AlternateContent>
  <bookViews>
    <workbookView xWindow="0" yWindow="0" windowWidth="19200" windowHeight="10035" tabRatio="788"/>
  </bookViews>
  <sheets>
    <sheet name="Instructions" sheetId="14" r:id="rId1"/>
    <sheet name="CRUD" sheetId="10" r:id="rId2"/>
    <sheet name="##RestApi" sheetId="6" r:id="rId3"/>
    <sheet name="##RestEndpointGroup" sheetId="7" r:id="rId4"/>
    <sheet name="DBSchema" sheetId="8" r:id="rId5"/>
    <sheet name="DataDictionary" sheetId="12" r:id="rId6"/>
    <sheet name="%%AppConfig" sheetId="4" r:id="rId7"/>
    <sheet name="%%SysRuntime" sheetId="5" r:id="rId8"/>
    <sheet name="%%SysConfig" sheetId="3" state="hidden" r:id="rId9"/>
  </sheets>
  <functionGroups builtInGroupCount="18"/>
  <definedNames>
    <definedName name="_xlnm._FilterDatabase" localSheetId="8" hidden="1">'%%SysConfig'!$A$2:$C$2</definedName>
    <definedName name="AlchemyJ_DataDic" localSheetId="5">AlchemyJ_DataDic_tbl[#All]</definedName>
    <definedName name="AlchemyJ_DataDicErrorDef" localSheetId="5">DataDictionary!$A$5:$AJ$6</definedName>
    <definedName name="AlchemyJ_DBConStr" localSheetId="8">'%%SysConfig'!$C$14</definedName>
    <definedName name="AlchemyJ_DBSchema" localSheetId="4">AlchemyJ_DBSchema_tbl[#All]</definedName>
    <definedName name="AlchemyJ_DBType">'%%SysRuntime'!$B$7</definedName>
    <definedName name="AlchemyJ_FunctionPoint">'%%SysRuntime'!$B$4</definedName>
    <definedName name="AlchemyJ_Maven_Dependency" localSheetId="2">AlchemyJ_Maven_Dependency_REST_tbl[#All]</definedName>
    <definedName name="AlchemyJ_Name_ConfType" localSheetId="2">'##RestApi'!$A$1</definedName>
    <definedName name="AlchemyJ_Name_ConfType" localSheetId="3">'##RestEndpointGroup'!$A$1</definedName>
    <definedName name="AlchemyJ_Parameter_Separator">'%%AppConfig'!$B$3</definedName>
    <definedName name="AlchemyJ_Parameter_Type_Separator">'%%AppConfig'!$B$4</definedName>
    <definedName name="AlchemyJ_REST_Sec_Authority_List">'%%SysRuntime'!$B$6</definedName>
    <definedName name="AlchemyJ_REST_Sec_UserName">'%%SysRuntime'!$B$5</definedName>
    <definedName name="AlchemyJ_RestCls_EndPoint_Def" localSheetId="3">AlchemyJ_RestCls_EndPointDef_tbl[#All]</definedName>
    <definedName name="AlchemyJ_RestCls_EndPointParam_Def" localSheetId="3">AlchemyJ_RestCls_EndPointParamDef_tbl[#All]</definedName>
    <definedName name="AlchemyJ_RestCls_EndPointRespOperation_Def" localSheetId="3">AlchemyJ_RestCls_EndPointRespOperationDef_tbl[#All]</definedName>
    <definedName name="AlchemyJ_RestCls_Nm_Cls_Name" localSheetId="3">'##RestEndpointGroup'!$B$5</definedName>
    <definedName name="AlchemyJ_RestCls_Nm_Request_Mapping" localSheetId="3">'##RestEndpointGroup'!$B$6</definedName>
    <definedName name="AlchemyJ_RestCls_OutputSettings" localSheetId="3">AlchemyJ_RestCls_OutputSettings_tbl[#All]</definedName>
    <definedName name="AlchemyJ_RestCls_Sheet_Def" localSheetId="3">AlchemyJ_RestCls_SheetDef_tbl[#All]</definedName>
    <definedName name="AlchemyJ_RestPkg_Additional_Config" localSheetId="2">AlchemyJ_RestPkg_Additional_Config_Tbl[#All]</definedName>
    <definedName name="AlchemyJ_RestPkg_Advance_Settings" localSheetId="2">AlchemyJ_RestPkg_Advance_Settings_Tbl[#All]</definedName>
    <definedName name="AlchemyJ_RestPkg_AlchemyJ_Setting_Def" localSheetId="2">AlchemyJ_RestPkg_AlchemyJ_Setting_tbl[#All]</definedName>
    <definedName name="AlchemyJ_RestPkg_ClassList_Def" localSheetId="2">AlchemyJ_RestPkg_ClassList_tbl[#All]</definedName>
    <definedName name="AlchemyJ_RestPkg_DataSource_Setting_Def" localSheetId="2">AlchemyJ_RestPkg_DataSource_Setting_tbl[#All]</definedName>
    <definedName name="AlchemyJ_RestPkg_Doc_Config" localSheetId="2">AlchemyJ_RestPkg_Doc_Config_Tbl[#All]</definedName>
    <definedName name="AlchemyJ_RestPkg_ET_Setting_Def" localSheetId="2">AlchemyJ_RestPkg_ET_Setting_tbl[#All]</definedName>
    <definedName name="AlchemyJ_RestPkg_LDAP_Settings_Def" localSheetId="2">AlchemyJ_RestPkg_LDAP_Settings_Tbl[#All]</definedName>
    <definedName name="AlchemyJ_RestPkg_Nm_API_Name" localSheetId="2">'##RestApi'!$B$5</definedName>
    <definedName name="AlchemyJ_RestPkg_Nm_Ext_Log_Env_Var" localSheetId="2">'##RestApi'!$B$70</definedName>
    <definedName name="AlchemyJ_RestPkg_Nm_Ext_Log_Location" localSheetId="2">'##RestApi'!$B$69</definedName>
    <definedName name="AlchemyJ_RestPkg_Nm_Ext_Yml_Env_Var" localSheetId="2">'##RestApi'!$B$68</definedName>
    <definedName name="AlchemyJ_RestPkg_Nm_Ext_Yml_Location" localSheetId="2">'##RestApi'!$B$67</definedName>
    <definedName name="AlchemyJ_RestPkg_Nm_Mv_Artifact_ID" localSheetId="2">'##RestApi'!$B$66</definedName>
    <definedName name="AlchemyJ_RestPkg_Nm_Mv_Group_ID" localSheetId="2">'##RestApi'!$B$65</definedName>
    <definedName name="AlchemyJ_RestPkg_Nm_Mv_Version" localSheetId="2">'##RestApi'!$B$7</definedName>
    <definedName name="AlchemyJ_RestPkg_Nm_Output_File_Name" localSheetId="2">'##RestApi'!$B$63</definedName>
    <definedName name="AlchemyJ_RestPkg_Nm_Pkg_Name" localSheetId="2">'##RestApi'!$B$6</definedName>
    <definedName name="AlchemyJ_RestPkg_Response_Code_Config" localSheetId="2">AlchemyJ_RestPkg_Response_Code_Config_Tbl[#All]</definedName>
    <definedName name="AlchemyJ_RestPkg_SessionManagement_Setting_Def" localSheetId="2">AlchemyJ_RestPkg_SessionManagement_Setting_tbl[#All]</definedName>
    <definedName name="AlchemyJ_RestPkg_Setting" localSheetId="2">AlchemyJ_RestPkg_Setting_tbl[#All]</definedName>
    <definedName name="AlchemyJ_RunningFlag">'%%SysRuntime'!$B$3</definedName>
    <definedName name="AlchemyJ_SysProp_AlchemyJ_Installation_Folder" localSheetId="8">'%%SysConfig'!$C$3</definedName>
    <definedName name="AlchemyJ_SysProp_Auto_Detect_Sheet_Range" localSheetId="8">'%%SysConfig'!$C$5</definedName>
    <definedName name="AlchemyJ_SysProp_Build_Jar_Output_Folder" localSheetId="8">'%%SysConfig'!$C$11</definedName>
    <definedName name="AlchemyJ_SysProp_Build_Open_Output_Folder" localSheetId="8">'%%SysConfig'!$C$12</definedName>
    <definedName name="AlchemyJ_SysProp_Build_Output_Folder" localSheetId="8">'%%SysConfig'!$C$7</definedName>
    <definedName name="AlchemyJ_SysProp_Build_Target_Sheet" localSheetId="8">'%%SysConfig'!$C$4</definedName>
    <definedName name="AlchemyJ_SysProp_Build_Type" localSheetId="8">'%%SysConfig'!$C$8</definedName>
    <definedName name="AlchemyJ_SysProp_Compilation_Mode" localSheetId="8">'%%SysConfig'!$C$6</definedName>
    <definedName name="AlchemyJ_SysProp_Compile_Project_Into_A_Package" localSheetId="8">'%%SysConfig'!$C$9</definedName>
    <definedName name="AlchemyJ_SysProp_Copy_Package_File_To_Folder" localSheetId="8">'%%SysConfig'!$C$10</definedName>
    <definedName name="AlchemyJ_SysProp_Debug_Command_Action_File_Location" localSheetId="8">'%%SysConfig'!$C$16</definedName>
    <definedName name="AlchemyJ_SysProp_Debug_Console_Port" localSheetId="8">'%%SysConfig'!$C$15</definedName>
    <definedName name="AlchemyJ_SysProp_Enable_AJ_Library_Function_Check" localSheetId="8">'%%SysConfig'!$C$20</definedName>
    <definedName name="AlchemyJ_SysProp_License_File_Env_Variable" localSheetId="8">'%%SysConfig'!$C$17</definedName>
    <definedName name="AlchemyJ_SysProp_License_File_Location" localSheetId="8">'%%SysConfig'!$C$18</definedName>
    <definedName name="AlchemyJ_SysProp_Package_Workbooks" localSheetId="8">'%%SysConfig'!$C$25</definedName>
    <definedName name="AlchemyJ_SysProp_Run_Validation_Before_Build_Project" localSheetId="8">'%%SysConfig'!$C$21</definedName>
    <definedName name="AlchemyJ_SysProp_Show_Response_Dialog" localSheetId="8">'%%SysConfig'!$C$26</definedName>
    <definedName name="AlchemyJ_SysProp_Start_Server_When_Finished" localSheetId="8">'%%SysConfig'!$C$13</definedName>
    <definedName name="AlchemyJ_SysProp_Studio_Log_Level" localSheetId="8">'%%SysConfig'!$C$19</definedName>
    <definedName name="AlchemyJ_SysProp_Validation_Bypass_Error" localSheetId="8">'%%SysConfig'!$C$24</definedName>
    <definedName name="AlchemyJ_SysProp_Validation_Result_New_Sheet" localSheetId="8">'%%SysConfig'!$C$23</definedName>
    <definedName name="AlchemyJ_SysProp_Validation_Turn_Off_Warning_Message" localSheetId="8">'%%SysConfig'!$C$22</definedName>
    <definedName name="CRUD_Filter_Condition" localSheetId="1">CRUD!$A$27:$F$28</definedName>
  </definedNames>
  <calcPr calcId="152511" calcMode="manual"/>
  <extLst>
    <ext xmlns:x14="http://schemas.microsoft.com/office/spreadsheetml/2009/9/main" uri="{8193D73E-4604-4355-AFF4-8A2333D13BE4}">
      <x14:definedNames>
        <x14:definedName name="ajAuthenLdap">
          <x14:argumentDescriptions count="6">
            <x14:argumentDescription index="0">is to specify the IP address or FQDN of the LDAP server.</x14:argumentDescription>
            <x14:argumentDescription index="1">is to specify the domain of the user. If there is no domain needs to be specified, please enter an empty string "".</x14:argumentDescription>
            <x14:argumentDescription index="2">is to specify username from LDAP.</x14:argumentDescription>
            <x14:argumentDescription index="3">is to specify user password.</x14:argumentDescription>
            <x14:argumentDescription index="4">is a logical value, TRUE means the function will run, otherwise will not run. Default is TRUE.</x14:argumentDescription>
            <x14:argumentDescription index="5">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CallFunction">
          <x14:argumentDescriptions count="7">
            <x14:argumentDescription index="0">is to specify the name of the module in the Microsoft Excel macro.</x14:argumentDescription>
            <x14:argumentDescription index="1">is a logical value, default is FALSE.
When FALSE, AlchemyJ will execute the call as a static method during compilation.
When TRUE, AlchemyJ will execute the call as an instance method during compilation.</x14:argumentDescription>
            <x14:argumentDescription index="2">is to specify the parameters to be inputted to the method constructor in the format "ID-##-number-||-Name-##-string". Data type are supported, String, Boolean, Integer, Double, Long, Float, Date.</x14:argumentDescription>
            <x14:argumentDescription index="3">is to specify the method name in the class to be called. Please take note that it is also the function name in the Microsoft Excel macro.</x14:argumentDescription>
            <x14:argumentDescription index="4">is to specify the parameters to be inputted to the method in the format "ID-##-number-||-Name-##-string". 
Data type are supported, String, Boolean, Integer, Double, Long, Float, Date.</x14:argumentDescription>
            <x14:argumentDescription index="5">is a logical value, TRUE means the function will run, otherwise will not run. Default is TRUE.</x14:argumentDescription>
            <x14:argumentDescription index="6">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CallWsRest">
          <x14:argumentDescriptions count="9">
            <x14:argumentDescription index="0">is to specify the URL of the web service call.</x14:argumentDescription>
            <x14:argumentDescription index="1">is to specify the HTTP method to call the web service. Default is 0. 
0 - POST, 1 - GET, 2 - PUT, 3 - PATCH, 4 - DELETE</x14:argumentDescription>
            <x14:argumentDescription index="2">is to specify the body for HTTP call from a range of cells. The range of cells can span across multiple rows and columns. Each row represents a break line and all the columns will be concatenated. Default value is an empty string ("")</x14:argumentDescription>
            <x14:argumentDescription index="3">is to specify the username to access the web service call if applicable. Default value is an empty string ("").</x14:argumentDescription>
            <x14:argumentDescription index="4">is to specify the password of the username to access the web service call if applicable. Default value is an empty string ("").</x14:argumentDescription>
            <x14:argumentDescription index="5">is to specify the HTTP header from a range of cells. The first column should contain a header field name. The second column should contain a header field value. Default value is an empty string ("").</x14:argumentDescription>
            <x14:argumentDescription index="6">is to specify the content type of the HTTP request to the web service call. Default value is "application/json".</x14:argumentDescription>
            <x14:argumentDescription index="7">is a logical value, TRUE means the function will run, otherwise will not run. Default is TRUE.</x14:argumentDescription>
            <x14:argumentDescription index="8">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CallWsSoap">
          <x14:argumentDescriptions count="9">
            <x14:argumentDescription index="0" xml:space="preserve">is to specify the URL of the web service call. </x14:argumentDescription>
            <x14:argumentDescription index="1">is to specify the HTTP method to call the web service. Default is 0. 
0 - POST, 1 - GET, 2 - PUT, 3 - PATCH, 4 - DELETE</x14:argumentDescription>
            <x14:argumentDescription index="2">is to specify the body for HTTP call from a range of cells. The range of cells can span across multiple rows and columns. Each row represents a break line and all the columns will be concatenated. Default value is an empty string ("").</x14:argumentDescription>
            <x14:argumentDescription index="3">is to specify the username to access the web service call if applicable. Default value is an empty string ("").</x14:argumentDescription>
            <x14:argumentDescription index="4">is to specify the password of the username to access the web service call if applicable. Default value is an empty string ("").</x14:argumentDescription>
            <x14:argumentDescription index="5">is to specify the HTTP header from a range of cells. The first column should contain a header field name. The second column should contain a header field value. Default value is an empty string ("").</x14:argumentDescription>
            <x14:argumentDescription index="6">is to specify the content type of the HTTP request to the web service call. Default value will be "text/xml".</x14:argumentDescription>
            <x14:argumentDescription index="7">is a logical value, TRUE means the function will run, otherwise will not run. Default is TRUE.</x14:argumentDescription>
            <x14:argumentDescription index="8">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CheckDataItem">
          <x14:argumentDescriptions count="5">
            <x14:argumentDescription index="0">is to specify the data item names (field name) to be checked. The range of cells could be selected vertically or horizontally. Data item names are case-sensitive. The orientation of Header and Data parameter must be the same.</x14:argumentDescription>
            <x14:argumentDescription index="1">is to specify the data item values to be checked. The range of cells could be selected vertically or horizontally and the order must be same as the Header.</x14:argumentDescription>
            <x14:argumentDescription index="2">is the range of cells or name that specifies the data item list to be used. Please include the header in the range of cells in the first row. When a data dictionary component is added to a workbook, it automatically create a name.</x14:argumentDescription>
            <x14:argumentDescription index="3">is the range of cells that specifies the error message override definition. Please include the header in the range of cells in the first row. If you do not specify anything, the default error message will be used.</x14:argumentDescription>
            <x14:argumentDescription index="4">is to indicate whether transformation should be performed. Default is TRUE.
TRUE means to transform while FALSE means do not. Transformation properties are properties that changes a data item value such as case conversion and rounding number of digits.</x14:argumentDescription>
          </x14:argumentDescriptions>
        </x14:definedName>
        <x14:definedName name="ajCheckFileExists">
          <x14:argumentDescriptions count="3">
            <x14:argumentDescription index="0">is the full path of the file to be checked. Both the forward slash (/) and backslash (\\) are supported as the folder separator.</x14:argumentDescription>
            <x14:argumentDescription index="1">is a logical value, TRUE means the function will run, otherwise will not run. Default is TRUE.</x14:argumentDescription>
            <x14:argumentDescription index="2">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CopyFile">
          <x14:argumentDescriptions count="5">
            <x14:argumentDescription index="0">is to specify the full path of the file to copy. Both the forward slash (/) and backslash (\\) are supported as the folder separator.</x14:argumentDescription>
            <x14:argumentDescription index="1">is to specify the full file path where the file are to be copied and renamed. It can end with a slash or not. Both the forward slash (/) and backslash (\\) are supported as the folder separator.</x14:argumentDescription>
            <x14:argumentDescription index="2">is a logical value, default is FALSE.
TRUE - a file with the same name is overwritten.
FALSE - a file with the same name is not overwritten. Error #VALUE! would be returned.</x14:argumentDescription>
            <x14:argumentDescription index="3">is a logical value, TRUE means the function will run, otherwise will not run. Default is TRUE.</x14:argumentDescription>
            <x14:argumentDescription index="4">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CountRec">
          <x14:argumentDescriptions count="7">
            <x14:argumentDescription index="0">is to specify the name of the table to read from.</x14:argumentDescription>
            <x14:argumentDescription index="1">is to specify the type of filtering. 0 - Append the condition value defined in 'filter_condition' parameter. 1 - Construct the condition using Kendo grid filtering feature. 2 - Construct the condition like Microsoft SQL Query.</x14:argumentDescription>
            <x14:argumentDescription index="2">is to specify the range that defines the filter condition. If filter_type=0, it is the where clause of a SQL statement. If filter_type=1, it is the filter condition in Kendo grid style. if filter_type=2, it is a filter condition used in MS Query format.</x14:argumentDescription>
            <x14:argumentDescription index="3">is to specify the range that defines the [DB Schema].</x14:argumentDescription>
            <x14:argumentDescription index="4">is to define the data source ID, default is 'primary'. The parameter is used to define which database shall be executed for the function.</x14:argumentDescription>
            <x14:argumentDescription index="5">is a logical value, TRUE means the function will run, otherwise will not run. Default is TRUE.</x14:argumentDescription>
            <x14:argumentDescription index="6">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CreateRec">
          <x14:argumentDescriptions count="11">
            <x14:argumentDescription index="0">is to specify the name of the table where records will be created.</x14:argumentDescription>
            <x14:argumentDescription index="1">is to specify the columns to be updated. It could be a range of single row or column where each cell is a table column name or a data name defined in [DB Schema]. CLOB and BLOB are not supported.</x14:argumentDescription>
            <x14:argumentDescription index="2">is to specify the range where data is located. The orientation can either be landscape or portrait. The orientation should be the same with column_headers.</x14:argumentDescription>
            <x14:argumentDescription index="3">is to specify the range that defines the [DB Schema].</x14:argumentDescription>
            <x14:argumentDescription index="4" xml:space="preserve">is to specify the return type of the function.
1 - Accumulate recordset of output parameter(s).
2 - Number of affected records. </x14:argumentDescription>
            <x14:argumentDescription index="5" xml:space="preserve">is a logical value, default is FALSE.
TRUE - the returned records will be transposed from row to column.
FALSE - the return records will not be transposed. </x14:argumentDescription>
            <x14:argumentDescription index="6" xml:space="preserve">is a logical value, default is FALSE. This only applies when "Return_type" is 0.
TRUE - the return result will include the column headers as the first row. 
FALSE, the return result will contain data only. </x14:argumentDescription>
            <x14:argumentDescription index="7">is to define the data source ID, default is 'primary'. The parameter is used to define which database shall be executed for the function.</x14:argumentDescription>
            <x14:argumentDescription index="8" xml:space="preserve">is to specify if to convert all values into text, default is FALSE.
TRUE - the return result will be in string array. 
FALSE - the return result will preserve the datatype in each cell. </x14:argumentDescription>
            <x14:argumentDescription index="9">is a logical value, TRUE means the function will run, otherwise will not run. Default is TRUE.</x14:argumentDescription>
            <x14:argumentDescription index="10">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DeleteFile">
          <x14:argumentDescriptions count="3">
            <x14:argumentDescription index="0">is to specify the full path of the file to delete. Both the forward slash (/) and backslash (\\) are supported as the folder separator.</x14:argumentDescription>
            <x14:argumentDescription index="1">is a logical value, TRUE means the function will run, otherwise will not run. Default is TRUE.</x14:argumentDescription>
            <x14:argumentDescription index="2">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DeleteRec">
          <x14:argumentDescriptions count="9">
            <x14:argumentDescription index="0">is to specify the name of the table where records should be deleted from.</x14:argumentDescription>
            <x14:argumentDescription index="1">is to specify the columns to be matched. It could be a range of single row or column that each cell for a column. The cell value could be the actual column name or a data name which is defined in [DB Schema]. CLOB and BLOB are not supported.</x14:argumentDescription>
            <x14:argumentDescription index="2">is to specify the range for the key field value(s) of the record to be deleted. The orientation can either be landscape or portrait. The orientation should be the same with column_headers.</x14:argumentDescription>
            <x14:argumentDescription index="3">is to specify the type of filtering. 0 - Append the condition value defined in 'filter_condition' parameter. 1 - Construct the condition using Kendo grid filtering feature. 2 - Construct the condition like Microsoft SQL Query.</x14:argumentDescription>
            <x14:argumentDescription index="4">is to specify the range that defines the filter condition. If filter_type=0, it is the where clause of a SQL statement. If filter_type=1, it is the filter condition in Kendo grid style. if filter_type=2, it is a filter condition used in MS Query format.</x14:argumentDescription>
            <x14:argumentDescription index="5">is to specify the range that defines the [DB Schema].</x14:argumentDescription>
            <x14:argumentDescription index="6">is to define the data source ID, default is 'primary'. The parameter is used to define which database shall be executed for the function.</x14:argumentDescription>
            <x14:argumentDescription index="7">is a logical value, TRUE means the function will run, otherwise will not run. Default is TRUE.</x14:argumentDescription>
            <x14:argumentDescription index="8">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DownloadLob">
          <x14:argumentDescriptions count="8">
            <x14:argumentDescription index="0">is the name of the table that stores the file.</x14:argumentDescription>
            <x14:argumentDescription index="1">is the range that contains the LOB field information. It may have 6 columns in the range with the following headers. 1. LOB Content Field, 2. LOB Content Folder, 3. LOB File Name Field, 4. LOB File Name, 5. CLOB Character Set Field, 6. CLOB Character Set</x14:argumentDescription>
            <x14:argumentDescription index="2">is to specify the type of filtering. 0 - Append the condition value defined in 'filter_condition' parameter. 1 - Construct the condition using Kendo grid filtering feature. 2 - Construct the condition like Microsoft SQL Query.</x14:argumentDescription>
            <x14:argumentDescription index="3">is to specify the range that defines the filter condition. If filter_type=0, it is the where clause of a SQL statement. If filter_type=1, it is the filter condition in Kendo grid style. if filter_type=2, it is a filter condition used in MS Query format.</x14:argumentDescription>
            <x14:argumentDescription index="4">is to specify the range that defines the [DB Schema].</x14:argumentDescription>
            <x14:argumentDescription index="5">is to define the data source ID, default is 'primary'. The parameter is used to define which database shall be executed for the function.</x14:argumentDescription>
            <x14:argumentDescription index="6">is a logical value, TRUE means the function will run, otherwise will not run. Default is TRUE.</x14:argumentDescription>
            <x14:argumentDescription index="7">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ExecuteSP">
          <x14:argumentDescriptions count="9">
            <x14:argumentDescription index="0">is the stored procedure name to be executed.</x14:argumentDescription>
            <x14:argumentDescription index="1">is the range of cells to form the list of input/output parameters. Below is a sample.
&lt;field_name&gt;-##-&lt;data_type&gt;-##-&lt;in_out_flag&gt;-||-&lt;field_name&gt;-##-&lt;data_type&gt;-##-&lt;in_out_flag&gt;-||-...
"-||-" is parameter separator. "-##-" is parameter type separator.</x14:argumentDescription>
            <x14:argumentDescription index="2">is a number value, default is 0. 0 indicates the function will return a set of records (in cell array). 1 indicates the function will return the output parameters. 2 indicates to return the number of the affected records.</x14:argumentDescription>
            <x14:argumentDescription index="3">is a logical value, default is FALSE.
TRUE - the return result will be transposed. This only affects return that has multiple cells.
FLASE - the return result will not be transposed.</x14:argumentDescription>
            <x14:argumentDescription index="4" xml:space="preserve">is a logical value, default is FALSE. This only applies when "Return_type" is 0.
TRUE - the return result will include the column headers as the first row. 
FALSE - the return result will contain data only. </x14:argumentDescription>
            <x14:argumentDescription index="5">is to define the data source ID, default is 'primary'. The parameter is used to define which database shall be executed for the function.</x14:argumentDescription>
            <x14:argumentDescription index="6" xml:space="preserve">is to specify if to convert all values into text, default is FALSE.
TRUE - the return result will be in string array. 
FALSE - the return result will preserve the datatype in each cell. </x14:argumentDescription>
            <x14:argumentDescription index="7">is a logical value, TRUE means the function will run, otherwise will not run. Default is TRUE.</x14:argumentDescription>
            <x14:argumentDescription index="8">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ExecuteSql">
          <x14:argumentDescriptions count="9">
            <x14:argumentDescription index="0" xml:space="preserve">is the range of cells to form the SQL statement to be executed. The range of cells can be span across multiple rows and columns. Only a single SQL syntax is supported. </x14:argumentDescription>
            <x14:argumentDescription index="1">is the range of cells to form the list of input/output parameters. Below is a sample.
&lt;field_name&gt;-##-&lt;data_type&gt;-##-&lt;in_out_flag&gt;-||-&lt;field_name&gt;-##-&lt;data_type&gt;-##-&lt;in_out_flag&gt;-||-...
"-||-" is parameter separator. "-##-" is parameter type separator.</x14:argumentDescription>
            <x14:argumentDescription index="2">is a number value, default is 0. 0 indicates the function will return a set of records (in cell array). 1 indicates the function will return the output parameters. 2 indicates to return the number of the affected records.</x14:argumentDescription>
            <x14:argumentDescription index="3">is a logical value, default is FALSE.
TRUE - the return result will be transposed. This only affects return that has multiple cells.
FLASE - the return result will not be transposed.</x14:argumentDescription>
            <x14:argumentDescription index="4">is a logical value, default is FALSE. This only applies when "Return_type" is 0.
TRUE - the return result will include the column headers as the first row. 
FALSE - the return result will contain data only.</x14:argumentDescription>
            <x14:argumentDescription index="5">is to define the data source ID, default is 'primary'. The parameter is used to define which database shall be executed for the function.</x14:argumentDescription>
            <x14:argumentDescription index="6" xml:space="preserve">is to specify if to convert all values into text, default is FALSE.
TRUE - the return result will be in string array. 
FALSE - the return result will preserve the datatype in each cell. </x14:argumentDescription>
            <x14:argumentDescription index="7">is a logical value, TRUE means the function will run, otherwise will not run. Default is TRUE.</x14:argumentDescription>
            <x14:argumentDescription index="8">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FilterArray">
          <x14:argumentDescriptions count="4">
            <x14:argumentDescription index="0">is the range of cells to be filtered.</x14:argumentDescription>
            <x14:argumentDescription index="1" xml:space="preserve">is a range of cells that specifies the condition to filter the range of cells specified in "In_array". 1 means including the row. 0 means excluding the row. 
The number of rows in Include range must match the number of rows in In_array. </x14:argumentDescription>
            <x14:argumentDescription index="2">is to specify the message to be shown when none of the row meets the condition. Default value is an empty string ("").</x14:argumentDescription>
            <x14:argumentDescription index="3" xml:space="preserve">is to specify if to convert all values into text, default is FALSE.
TRUE - the return result will be in string array. 
FALSE - the return result will preserve the datatype in each cell. </x14:argumentDescription>
          </x14:argumentDescriptions>
        </x14:definedName>
        <x14:definedName name="ajFilterJson">
          <x14:argumentDescriptions count="5">
            <x14:argumentDescription index="0">is the range of cells that contains the JSON string. The range of cells can span across multiple rows and columns. The cell values will be concatenated into one string from left to right and top to bottom.</x14:argumentDescription>
            <x14:argumentDescription index="1">is to specify the criteria in JsonPath format. For example, $.Employee[*].ID[*].</x14:argumentDescription>
            <x14:argumentDescription index="2">is a number value, default is 0.
1 - the entire filtered JSON string will be extracted into a single cell.
0 - the filtered JSON string can be spanned across the cell arrays.</x14:argumentDescription>
            <x14:argumentDescription index="3" xml:space="preserve">is to specify the value of the name of the JSON name-value pair. It only applies when Return_type is 1. Default is "data". </x14:argumentDescription>
            <x14:argumentDescription index="4" xml:space="preserve">is to specify if to convert all values into text, default is FALSE.
TRUE - the return result will be in string array. 
FALSE - the return result will preserve the datatype in each cell. </x14:argumentDescription>
          </x14:argumentDescriptions>
        </x14:definedName>
        <x14:definedName name="ajGetAddress">
          <x14:argumentDescriptions count="3">
            <x14:argumentDescription index="0" xml:space="preserve">is to specify a single cell or range of cells and obtain the address of the single cell or range of cells. If a range of cells is specified in the "cell_reference", only operation that apply to the whole row or column can be detected. </x14:argumentDescription>
            <x14:argumentDescription index="1">is a logical value, default is FALSE. This is applicable if "cell_reference" is a single cell address. 
TRUE - returns a single address with range format, e.g. 'Business Logic'!A1:A1 
FALSE - returns a single cell address, e.g. 'Business Logic'!A1</x14:argumentDescription>
            <x14:argumentDescription index="2">is a number value, default is 0. 0 - returns the worksheet name and cell address, e.g. Business Logic!A1. 1 - returns the cell address without the worksheet name, e.g. A1. 2 - returns the worksheet name only, e.g. Business Logic.</x14:argumentDescription>
          </x14:argumentDescriptions>
        </x14:definedName>
        <x14:definedName name="ajGetCache">
          <x14:argumentDescriptions count="5">
            <x14:argumentDescription index="0">is a string.</x14:argumentDescription>
            <x14:argumentDescription index="1">is a specified column or row.</x14:argumentDescription>
            <x14:argumentDescription index="2">is a specified column or row.</x14:argumentDescription>
            <x14:argumentDescription index="3">is a cell address</x14:argumentDescription>
            <x14:argumentDescription index="4">is a string.</x14:argumentDescription>
          </x14:argumentDescriptions>
        </x14:definedName>
        <x14:definedName name="ajGetLastUsedCellAddress">
          <x14:argumentDescriptions count="1">
            <x14:argumentDescription index="0">is to specify the worksheet to retrieve the last cell used.</x14:argumentDescription>
          </x14:argumentDescriptions>
        </x14:definedName>
        <x14:definedName name="ajGetModelError">
          <x14:argumentDescriptions count="3">
            <x14:argumentDescription index="0">is to specify the cell address to be filtered and shown from the list of cell address added by the ajRaiseError function. Default value is an empty string (""), which means no filter condition.</x14:argumentDescription>
            <x14:argumentDescription index="1">is to specify the error code to be filtered and shown from the list of error code added by the ajRaiseError function. Default value is an empty string (""), which means no filter condition.</x14:argumentDescription>
            <x14:argumentDescription index="2">is to specify the partial or full string condition to be used to filter and shown the list of error message added by the ajRaiseError function. It is case-insensitive, e.g. records with error message "ABCDE" will be shown with Error_message "b".</x14:argumentDescription>
          </x14:argumentDescriptions>
        </x14:definedName>
        <x14:definedName name="ajGetSystemError">
          <x14:argumentDescriptions count="3">
            <x14:argumentDescription index="0">is to specify the cell address to be filtered and shown from the system error list. Default value is an empty string (""), which means no filter condition.</x14:argumentDescription>
            <x14:argumentDescription index="1">is to specify the function name to be filtered and shown from the system error list. Default value is an empty string (""), which means no filter condition.</x14:argumentDescription>
            <x14:argumentDescription index="2" xml:space="preserve">is to specify the partial or full string condition to be used to filter and shown from the system error list. The string condition is case-insensitive, e.g. records with error message "ABCDE" will be shown with Error_message "b". </x14:argumentDescription>
          </x14:argumentDescriptions>
        </x14:definedName>
        <x14:definedName name="ajGetUsedRangeAddress">
          <x14:argumentDescriptions count="1">
            <x14:argumentDescription index="0">is any cell reference of the target worksheet, e.g. Sheet1!A1.</x14:argumentDescription>
          </x14:argumentDescriptions>
        </x14:definedName>
        <x14:definedName name="ajMakeJson">
          <x14:argumentDescriptions count="4">
            <x14:argumentDescription index="0">is the range of cells to be set as the name of the JSON name-value pair. It can be selected either vertically or horizontally.</x14:argumentDescription>
            <x14:argumentDescription index="1">is the range of cells to be set as the value of the JSON name-value pair. It can be selected either vertically or horizontally but must be same as "Header".</x14:argumentDescription>
            <x14:argumentDescription index="2" xml:space="preserve">is to specify the data type of the fields ("Header") in the format [Field Name] [AJ_Parameter_Type_Separator][Data Type][AJ_Parameter_Type_Separator]. E.g. Product ID-##-String-||-On Sale-##-number. Supported data type: Number,Integer,Boolean and String. </x14:argumentDescription>
            <x14:argumentDescription index="3">is to specify the fields to be excluded from the result. The format is [Field Name] [AJ_Parameter_Type_Separator][Data Type][AJ_Parameter_Type_Separator]. E.g. Product ID-##-String-||-On Sale-##-number</x14:argumentDescription>
          </x14:argumentDescriptions>
        </x14:definedName>
        <x14:definedName name="ajMakeJsonFromSchema">
          <x14:argumentDescriptions count="2">
            <x14:argumentDescription index="0">is to specify the range where defines the header of the relationship table.</x14:argumentDescription>
            <x14:argumentDescription index="1">is to specify the range where defines the content of the relationship table. The empty row would be ignored.</x14:argumentDescription>
          </x14:argumentDescriptions>
        </x14:definedName>
        <x14:definedName name="ajMakeJsonFromTable">
          <x14:argumentDescriptions count="5">
            <x14:argumentDescription index="0">is the range of cells to be set as the name of the JSON name-value pair. It can be selected horizontally only.</x14:argumentDescription>
            <x14:argumentDescription index="1">is the range of cells to be set as the value of the JSON name-value pair. It can be selected horizontally only.</x14:argumentDescription>
            <x14:argumentDescription index="2">is to specify the value of the name of the JSON name-value pair. Default value is "data".</x14:argumentDescription>
            <x14:argumentDescription index="3">is to specify the data type of the fields ("Header") in the format [Field Name] [AJ_Parameter_Type_Separator][Data Type][AJ_Parameter_Type_Separator]. E.g. Age-##-number-||-Name-##-string</x14:argumentDescription>
            <x14:argumentDescription index="4">is to specify the fields to be excluded from the result. The format is [Field Name] [AJ_Parameter_Type_Separator][Data Type][AJ_Parameter_Type_Separator]. E.g. Product ID-##-String-||-On Sale-##-number</x14:argumentDescription>
          </x14:argumentDescriptions>
        </x14:definedName>
        <x14:definedName name="ajMakeXML">
          <x14:argumentDescriptions count="6">
            <x14:argumentDescription index="0">is the range of cells to be set as the name of the XML nodes. It can be selected either vertically or horizontally. Spaces will be trimmed and will be replaced by underscore if it exists between words.</x14:argumentDescription>
            <x14:argumentDescription index="1">is the range of cells to be set as the value of the XML nodes. It can be selected either vertically or horizontally but must be same as "Header". E.g. if "Header" is selected vertically, "Data" must select vertically as well.</x14:argumentDescription>
            <x14:argumentDescription index="2">is to specify the data type of the fields ("Header") in the format [Field Name] [AJ_Parameter_Type_Separator][Data Type][AJ_Parameter_Type_Separator]. E.g. Age-##-number-||-Name-##-string</x14:argumentDescription>
            <x14:argumentDescription index="3">is to specify the fields to be excluded from the result. The format is [Field Name] [AJ_Parameter_Type_Separator][Data Type][AJ_Parameter_Type_Separator]. E.g. Product ID-##-String-||-On Sale-##-number</x14:argumentDescription>
            <x14:argumentDescription index="4">is to specify the root node name in XML. Default is "root"</x14:argumentDescription>
            <x14:argumentDescription index="5">is to specify the element name for each record detail in XML. Default is "element".</x14:argumentDescription>
          </x14:argumentDescriptions>
        </x14:definedName>
        <x14:definedName name="ajMakeXMLFromSchema">
          <x14:argumentDescriptions count="3">
            <x14:argumentDescription index="0">is to specify the range where defines the header of the relationship table.</x14:argumentDescription>
            <x14:argumentDescription index="1">is to specify the range where defines the content of the relationship table. The empty row would be ignored.</x14:argumentDescription>
            <x14:argumentDescription index="2">is to specify the root node name in XML. Default is "root"</x14:argumentDescription>
          </x14:argumentDescriptions>
        </x14:definedName>
        <x14:definedName name="ajMakeXMLFromTable">
          <x14:argumentDescriptions count="6">
            <x14:argumentDescription index="0">is the range of cells to be set as the name of the XML nodes. It can be selected either vertically or horizontally. Spaces will be trimmed and will be replaced by underscore if it exists between words.</x14:argumentDescription>
            <x14:argumentDescription index="1">is the range of cells to be set as the value of the XML nodes. It can be selected either vertically or horizontally but must be same as "Header". E.g. if "Header" is selected vertically, "Data" must select vertically as well.</x14:argumentDescription>
            <x14:argumentDescription index="2">is to specify the data type of the fields ("Header") in the format [Field Name] [AJ_Parameter_Type_Separator][Data Type][AJ_Parameter_Type_Separator]. E.g. Age-##-number-||-Name-##-string</x14:argumentDescription>
            <x14:argumentDescription index="3">is to specify the fields to be excluded from the result. The format is [Field Name] [AJ_Parameter_Type_Separator][Data Type][AJ_Parameter_Type_Separator]. E.g. Product ID-##-String-||-On Sale-##-number</x14:argumentDescription>
            <x14:argumentDescription index="4">is to specify the root node name in XML. Default is "root"</x14:argumentDescription>
            <x14:argumentDescription index="5">is to specify the element name for each record detail in XML. Default is "element".</x14:argumentDescription>
          </x14:argumentDescriptions>
        </x14:definedName>
        <x14:definedName name="ajMergeRec">
          <x14:argumentDescriptions count="7">
            <x14:argumentDescription index="0">is to specify the name of the table to be updated.</x14:argumentDescription>
            <x14:argumentDescription index="1">is to specify the columns to be matched. It could be a range of single row or column that each cell for a column. The cell value could be the actual column name or a data name which is defined in [DB Schema]. CLOB and BLOB are not supported.</x14:argumentDescription>
            <x14:argumentDescription index="2">is to specify the range where data is located. The orientation can either be landscape or portrait. The orientation should be the same with column_headers.</x14:argumentDescription>
            <x14:argumentDescription index="3">is to specify the range that defines the [DB Schema].</x14:argumentDescription>
            <x14:argumentDescription index="4">is to define the data source ID, default is 'primary'. The parameter is used to define which database shall be executed for the function.</x14:argumentDescription>
            <x14:argumentDescription index="5">is a logical value, TRUE means the function will run, otherwise will not run. Default is TRUE.</x14:argumentDescription>
            <x14:argumentDescription index="6">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MoveFile">
          <x14:argumentDescriptions count="5">
            <x14:argumentDescription index="0">is to specify the full path of the file to be moved. Both the forward slash (/) and backslash (\\) are supported as the folder separator.</x14:argumentDescription>
            <x14:argumentDescription index="1">is to specify the full file path where the file are to be moved and renamed. It can end with a slash or not. Both the forward slash (/) and backslash (\\) are supported as the folder separator.</x14:argumentDescription>
            <x14:argumentDescription index="2" xml:space="preserve">is a logical value, default is FALSE.
TRUE - a file with the same name is overwritten. 
FALSE - a file with the same name is not overwritten. Error #VALUE! would be returned. </x14:argumentDescription>
            <x14:argumentDescription index="3">is a logical value, TRUE means the function will run, otherwise will not run. Default is TRUE.</x14:argumentDescription>
            <x14:argumentDescription index="4">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PopulateJsonToTable">
          <x14:argumentDescriptions count="4">
            <x14:argumentDescription index="0">The range of cells (row only) in which the value in each cell represents a node name in the JSON string.
The wording must be same, and it is case-sensitive. These node names may be at different levels in the JSON string.</x14:argumentDescription>
            <x14:argumentDescription index="1">is the range of cells that contains the JSON string. The range of cells can span across multiple rows and columns. 
The cell values will be concatenated into one string from left to right and top to bottom.</x14:argumentDescription>
            <x14:argumentDescription index="2">is to specify how deep (level of path) a node should be searched from the JSON string. The top level is 1. 
If you do not specify anything, all levels in the JSON string will be searched.</x14:argumentDescription>
            <x14:argumentDescription index="3" xml:space="preserve">is to specify if to convert all values into text, default is FALSE.
TRUE - the return result will be in string array. 
FALSE - the return result will preserve the datatype in each cell. </x14:argumentDescription>
          </x14:argumentDescriptions>
        </x14:definedName>
        <x14:definedName name="ajRaiseError">
          <x14:argumentDescriptions count="5">
            <x14:argumentDescription index="0">is to specify the error message of a record to be added to the model error list.</x14:argumentDescription>
            <x14:argumentDescription index="1">is to specify the error code of a record to be added to the model error list. Default value is an empty string ("").</x14:argumentDescription>
            <x14:argumentDescription index="2">is to specify the cell address that produces this error. Default value is an empty string (""). 
If another cell address shall be used, it is recommended to use ajGetAddress to specify the address.</x14:argumentDescription>
            <x14:argumentDescription index="3">is a logical value, TRUE means the function will run, otherwise will not run. Default is TRUE.</x14:argumentDescription>
            <x14:argumentDescription index="4">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ReadFile">
          <x14:argumentDescriptions count="10">
            <x14:argumentDescription index="0">is to specify the path of the file to be read.</x14:argumentDescription>
            <x14:argumentDescription index="1">is to specify the character that is used to split the input record into fields. If the file is a CSV file, comma is usually used.</x14:argumentDescription>
            <x14:argumentDescription index="2" xml:space="preserve">is to specify the left enclosure character. left_enclosure_character and right_enclosure_character must be provided at the same time. </x14:argumentDescription>
            <x14:argumentDescription index="3" xml:space="preserve">is to specify the right enclosure character. left_enclosure_character and right_enclosure_character must be provided at the same time. </x14:argumentDescription>
            <x14:argumentDescription index="4">is to specify the starting line to begin the extraction of the content of the file. Default value is 1.</x14:argumentDescription>
            <x14:argumentDescription index="5">is to specify the number of lines to be extracted from the file. If you don't specify anything, the default value will always be the maximum lines of the file.</x14:argumentDescription>
            <x14:argumentDescription index="6">is to define the character set when reading the file. Default is UTF-8 if not specified.</x14:argumentDescription>
            <x14:argumentDescription index="7">is a logical value, default is FALSE.
TRUE - the empty rows will be read from the file
FALSE - the empty rows will not be read from the file.</x14:argumentDescription>
            <x14:argumentDescription index="8">is a logical value, TRUE means the function will run, otherwise will not run. Default is TRUE.</x14:argumentDescription>
            <x14:argumentDescription index="9">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ReadRec">
          <x14:argumentDescriptions count="14">
            <x14:argumentDescription index="0">is to specify the name of the table to read from.</x14:argumentDescription>
            <x14:argumentDescription index="1">is to specify the columns to be matched. It could be a range of single row or column that each cell for a column. The cell value could be the actual column name or a data name which is defined in [DB Schema]. CLOB and BLOB are not supported.</x14:argumentDescription>
            <x14:argumentDescription index="2">is to specify the type of filtering. 0 - Append the condition value defined in 'filter_condition' parameter. 1 - Construct the condition using Kendo grid filtering feature. 2 - Construct the condition like Microsoft SQL Query.</x14:argumentDescription>
            <x14:argumentDescription index="3">is to specify the range that defines the filter condition. If filter_type=0, it is the where clause of a SQL statement. If filter_type=1, it is the filter condition in Kendo grid style. if filter_type=2, it is a filter condition used in MS Query format.</x14:argumentDescription>
            <x14:argumentDescription index="4">is to specify the range which defines the sorting criteria. The range should contain 3 columns. The first row is the header. They are **Data Name**, **Sorting Order**, and **Sorting Direction**. Sorting Direction can be "ASC" or "DESC".</x14:argumentDescription>
            <x14:argumentDescription index="5">is to specify the page of the returned records. Default value is 1.</x14:argumentDescription>
            <x14:argumentDescription index="6">is to specify the number of rows per page of the returned records. Default value is 30.</x14:argumentDescription>
            <x14:argumentDescription index="7">is to specify the range that defines the [DB Schema].</x14:argumentDescription>
            <x14:argumentDescription index="8">is a logical value, default is FALSE.
TRUE - the return result will be transposed. This only affects return that has multiple cells.
FLASE - the return result will not be transposed.</x14:argumentDescription>
            <x14:argumentDescription index="9">is a logical value, default is FALSE. This only applies when "Return_type" is 0. 
TRUE - the return result will include the column headers as the first row. 
FALSE, the return result will contain data only.</x14:argumentDescription>
            <x14:argumentDescription index="10">is to define the data source ID, default is 'primary'. The parameter is used to define which database shall be executed for the function.</x14:argumentDescription>
            <x14:argumentDescription index="11" xml:space="preserve">is to specify if to convert all values into text, default is FALSE.
TRUE - the return result will be in string array. 
FALSE - the return result will preserve the datatype in each cell. </x14:argumentDescription>
            <x14:argumentDescription index="12">is a logical value, TRUE means the function will run, otherwise will not run. Default is TRUE.</x14:argumentDescription>
            <x14:argumentDescription index="13">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ReadWorkbook">
          <x14:argumentDescriptions count="5">
            <x14:argumentDescription index="0">is to specify the path of the workbook to be read.</x14:argumentDescription>
            <x14:argumentDescription index="1">is to specify the range in the source workbook to be read.</x14:argumentDescription>
            <x14:argumentDescription index="2" xml:space="preserve">is to specify if to convert all values into text, default is FALSE.
TRUE - the return result will be in string array. 
FALSE - the return result will preserve the datatype in each cell. </x14:argumentDescription>
            <x14:argumentDescription index="3">is a logical value, TRUE means the function will run, otherwise will not run. Default is TRUE.</x14:argumentDescription>
            <x14:argumentDescription index="4">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RegExpCount">
          <x14:argumentDescriptions count="5">
            <x14:argumentDescription index="0">is a cell, range, or an array for the string to search for a regular expression pattern match. If it is a range or an array, concatenate the values first.</x14:argumentDescription>
            <x14:argumentDescription index="1" xml:space="preserve">is a string. The regular expression to search for with string. </x14:argumentDescription>
            <x14:argumentDescription index="2" xml:space="preserve">is an integer. The number of characters from the start of the string where the function should start searching for matches. </x14:argumentDescription>
            <x14:argumentDescription index="3">is a logical value. TRUE - ignore uppercase and lowercase characters. FALSE - do not ignore uppercase and lowercase characters. Default is FALSE.</x14:argumentDescription>
            <x14:argumentDescription index="4">is a logical value. TRUE - the start of line (^) and end of line ($) regular expression operators match line breaks (\n) within the string. FALSE - the start and end of line operators match only the start and end of the string.</x14:argumentDescription>
          </x14:argumentDescriptions>
        </x14:definedName>
        <x14:definedName name="ajRegExpMatch">
          <x14:argumentDescriptions count="6">
            <x14:argumentDescription index="0">is the range of cells to be set as the message to be searched. The range of cells can span across multiple rows and columns and it will be concatenated into a single string. It will concatenate the row first follow by the column.</x14:argumentDescription>
            <x14:argumentDescription index="1" xml:space="preserve">is to specify the regular expression. It is based on "type of the regular repression standard" (i.e. Basic Regular Expressions (BRE) of the IEEE POSIX standard). </x14:argumentDescription>
            <x14:argumentDescription index="2">is to specify the starting search position of "Input_string". 1 is the first position. If you do not specify anything, it will be at the beginning.</x14:argumentDescription>
            <x14:argumentDescription index="3">is a logical value, default is FALSE.
TRUE - for case insensitive search.
FALSE - for case sensitive search.</x14:argumentDescription>
            <x14:argumentDescription index="4">is a logical value, default is FALSE. 
TRUE - the ^ and $ operators will match against a newline boundary when "Input_string" has newline or carriage return characters
FALSE - the ^ and $ operators will match against a string boundary.</x14:argumentDescription>
            <x14:argumentDescription index="5">is a logical value, default is FALSE.
TRUE - returns all matches in the pattern. 
FALSE - only returns the first match.</x14:argumentDescription>
          </x14:argumentDescriptions>
        </x14:definedName>
        <x14:definedName name="ajRenameFile">
          <x14:argumentDescriptions count="4">
            <x14:argumentDescription index="0">is to specify the full path of the file to rename. Both the forward slash (/) and backslash (\\) are supported as the folder separator.</x14:argumentDescription>
            <x14:argumentDescription index="1">is to specify the new name of the file.|</x14:argumentDescription>
            <x14:argumentDescription index="2">is a logical value, TRUE means the function will run, otherwise will not run. Default is TRUE.</x14:argumentDescription>
            <x14:argumentDescription index="3">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SendEmail">
          <x14:argumentDescriptions count="12">
            <x14:argumentDescription index="0" xml:space="preserve">is to specify the IP address or FQDN of the SMTP server. </x14:argumentDescription>
            <x14:argumentDescription index="1">is to specify the listening port of the email service of the SMTP server.</x14:argumentDescription>
            <x14:argumentDescription index="2">is to specify FROM email address.</x14:argumentDescription>
            <x14:argumentDescription index="3">is to specify TO email address from a range of cell. The range of cells can be span across multiple rows and columns. Each row represents a break line and all the columns will be concatenate.</x14:argumentDescription>
            <x14:argumentDescription index="4">is to specify CC email address from a range of cell. The range of cells can be span across multiple rows and columns. Each row represents a break line and all the columns will be concatenate.</x14:argumentDescription>
            <x14:argumentDescription index="5">is to specify BCC email address from a range of cell. The range of cells can be span across multiple rows and columns. Each row represents a break line and all the columns will be concatenate.</x14:argumentDescription>
            <x14:argumentDescription index="6">is to specify subject for the email.</x14:argumentDescription>
            <x14:argumentDescription index="7">is to specify the content for the email from a range of cell. The range of cells can be span across multiple rows and columns. Each row represents a break line and all the columns will be concatenate.</x14:argumentDescription>
            <x14:argumentDescription index="8" xml:space="preserve">is a logical value, default is FALSE.
TRUE - the function will process the message as html formatted. 
FALSE - the function will process the message as plain text. </x14:argumentDescription>
            <x14:argumentDescription index="9">is to specify the attachment file paths of the email from a range of cells. The range of cells can span across multiple rows and columns. Each cell contains one file path. Default value is an empty string (""), which means no attachment.</x14:argumentDescription>
            <x14:argumentDescription index="10">is a logical value, TRUE means the function will run, otherwise will not run. Default is TRUE.</x14:argumentDescription>
            <x14:argumentDescription index="11">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SortArray">
          <x14:argumentDescriptions count="5">
            <x14:argumentDescription index="0">is the range of cells to be sorted.</x14:argumentDescription>
            <x14:argumentDescription index="1">is to point to a specified column or row (depending on the value set under by_col) to be sorted. Default value is 1.</x14:argumentDescription>
            <x14:argumentDescription index="2" xml:space="preserve">is a number value, default is 1.
1 - sort from A to Z. 
2 - sort from Z to A. </x14:argumentDescription>
            <x14:argumentDescription index="3" xml:space="preserve">is a logical value, default is FALSE.
TRUE - Sort the values in the columns according to the row index specified. 
FALSE - Sort the values in the rows according to the column index specified. </x14:argumentDescription>
            <x14:argumentDescription index="4" xml:space="preserve">is to specify if to convert all values into text, default is FALSE.
TRUE - the return result will be in string array. 
FALSE - the return result will preserve the datatype in each cell. </x14:argumentDescription>
          </x14:argumentDescriptions>
        </x14:definedName>
        <x14:definedName name="ajUpdateRec">
          <x14:argumentDescriptions count="9">
            <x14:argumentDescription index="0">is to specify the name of the table to update.</x14:argumentDescription>
            <x14:argumentDescription index="1">is to specify the columns to be matched. It could be a range of single row or column that each cell for a column. The cell value could be the actual column name or a data name which is defined in [DB Schema]. CLOB and BLOB are not supported.</x14:argumentDescription>
            <x14:argumentDescription index="2">is to specify the range where data is located. The orientation can either be landscape or portrait. The orientation should be the same with column_headers.</x14:argumentDescription>
            <x14:argumentDescription index="3">is to specify the type of filtering. 0 - Append the condition value defined in 'filter_condition' parameter. 1 - Construct the condition using Kendo grid filtering feature. 2 - Construct the condition like Microsoft SQL Query.</x14:argumentDescription>
            <x14:argumentDescription index="4">is to specify the range that defines the filter condition. If filter_type=0, it is the where clause of a SQL statement. If filter_type=1, it is the filter condition in Kendo grid style. if filter_type=2, it is a filter condition used in MS Query format.</x14:argumentDescription>
            <x14:argumentDescription index="5">is to specify the range that defines the [DB Schema].</x14:argumentDescription>
            <x14:argumentDescription index="6">is to define the data source ID, default is 'primary'. The parameter is used to define which database shall be executed for the function.</x14:argumentDescription>
            <x14:argumentDescription index="7">is a logical value, TRUE means the function will run, otherwise will not run. Default is TRUE.</x14:argumentDescription>
            <x14:argumentDescription index="8">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UploadLob">
          <x14:argumentDescriptions count="8">
            <x14:argumentDescription index="0">is the name of the table to be store the file.</x14:argumentDescription>
            <x14:argumentDescription index="1">is the range that contains the LOB field information. It may have 6 columns in the range with the following headers. 1. LOB Content Field, 2. LOB Content Folder, 3. LOB File Name Field, 4. LOB File Name, 5. CLOB Character Set Field, 6. CLOB Character Set</x14:argumentDescription>
            <x14:argumentDescription index="2">is to specify the type of filtering. 0 - Append the condition value defined in 'filter_condition' parameter. 1 - Construct the condition using Kendo grid filtering feature. 2 - Construct the condition like Microsoft SQL Query.</x14:argumentDescription>
            <x14:argumentDescription index="3">is to specify the range that defines the filter condition. If filter_type=0, it is the where clause of a SQL statement. If filter_type=1, it is the filter condition in Kendo grid style. if filter_type=2, it is a filter condition used in MS Query format.</x14:argumentDescription>
            <x14:argumentDescription index="4">is to specify the range that defines the [DB Schema].</x14:argumentDescription>
            <x14:argumentDescription index="5">is to define the data source ID, default is 'primary'. The parameter is used to define which database shall be executed for the function.</x14:argumentDescription>
            <x14:argumentDescription index="6">is a logical value, TRUE means the function will run, otherwise will not run. Default is TRUE.</x14:argumentDescription>
            <x14:argumentDescription index="7">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WriteFile">
          <x14:argumentDescriptions count="12">
            <x14:argumentDescription index="0">is the range of cells to be written into the file. The range of cells can be span across multiple rows and columns. Each row represents a break line and all the columns will be concatenate.</x14:argumentDescription>
            <x14:argumentDescription index="1">is to specify the path of the file to be written.</x14:argumentDescription>
            <x14:argumentDescription index="2">is a number value, default is 0.
1 - overwrite the file if it already exists. 
0 - append the content of the range of cells selected in "Data" to the file.</x14:argumentDescription>
            <x14:argumentDescription index="3" xml:space="preserve">is to specify that character that is used to split input record into fields. In the case of a CSV file, comma is usually used. If the file does not contain any column separator, please provide an empty string (""). </x14:argumentDescription>
            <x14:argumentDescription index="4" xml:space="preserve">is to specify the left enclosure character. left_enclosure_character and right_enclosure_character must be provided at the same time. </x14:argumentDescription>
            <x14:argumentDescription index="5" xml:space="preserve">is to specify the right enclosure character. left_enclosure_character and right_enclosure_character must be provided at the same time. </x14:argumentDescription>
            <x14:argumentDescription index="6">is to specify the character set used when writing the file, default value is UTF-8. Some common character set codes are UTF-8 (ISO 10646 Unicode), GB2312 (Chinese Simplified), Big5 (Chinese Traditional), us-ascii.</x14:argumentDescription>
            <x14:argumentDescription index="7">is to specify the number of retries if the file to be written is locked by other process. Default value is 3.</x14:argumentDescription>
            <x14:argumentDescription index="8">is to specify the interval between each retry in milliseconds. Default is 1000 which means 1 second.</x14:argumentDescription>
            <x14:argumentDescription index="9">is a logical value, default is FALSE.
TRUE - the empty rows will be read from the file
FALSE - the empty rows will not be read from the file.</x14:argumentDescription>
            <x14:argumentDescription index="10">is a logical value, TRUE means the function will run, otherwise will not run. Default is TRUE.</x14:argumentDescription>
            <x14:argumentDescription index="11">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 name="ajWriteWorkbook">
          <x14:argumentDescriptions count="6">
            <x14:argumentDescription index="0">is to specify the source data range.</x14:argumentDescription>
            <x14:argumentDescription index="1">is to specify the file path of the workbook to be written.</x14:argumentDescription>
            <x14:argumentDescription index="2">is to specify the address of the top-left cell of the range to write in the target workbook in text format</x14:argumentDescription>
            <x14:argumentDescription index="3" xml:space="preserve">is to specify if to convert all values into text, default is FALSE.
TRUE - the return result will be in string array. 
FALSE - the return result will preserve the datatype in each cell. </x14:argumentDescription>
            <x14:argumentDescription index="4">is a logical value, TRUE means the function will run, otherwise will not run. Default is TRUE.</x14:argumentDescription>
            <x14:argumentDescription index="5">is a logical value, default is TRUE.
TRUE means the function can be executed with **Run Function Point** (AlchemyJ tab \\ Run Function Point) only.
FALSE means the function can be executed through "Excel Calculation" or **Run Function Point**.</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8" i="10" l="1"/>
  <c r="D58" i="10" s="1"/>
  <c r="B59" i="10"/>
  <c r="B57" i="10"/>
  <c r="D57" i="10" s="1"/>
  <c r="B60" i="10"/>
  <c r="D60" i="10" s="1"/>
  <c r="B61" i="10"/>
  <c r="D61" i="10" s="1"/>
  <c r="B62" i="10"/>
  <c r="D62" i="10" s="1"/>
  <c r="H13" i="10"/>
  <c r="H14" i="10"/>
  <c r="C23" i="10" l="1"/>
  <c r="E59" i="10" s="1"/>
  <c r="D6" i="10"/>
  <c r="H58" i="10"/>
  <c r="E14" i="10" l="1"/>
  <c r="A49" i="7"/>
  <c r="F28" i="10" l="1"/>
  <c r="D28" i="10"/>
  <c r="C28" i="10" s="1"/>
  <c r="B28" i="10"/>
  <c r="A28" i="10" s="1"/>
  <c r="H16" i="10"/>
  <c r="E29" i="7"/>
  <c r="A50" i="7"/>
  <c r="H6" i="10"/>
  <c r="E33" i="7"/>
  <c r="E28" i="7"/>
  <c r="H5" i="10"/>
  <c r="E30" i="7"/>
  <c r="H11" i="10"/>
  <c r="H18" i="10"/>
  <c r="E31" i="7"/>
  <c r="E28" i="10" l="1"/>
  <c r="H62" i="10"/>
  <c r="A67" i="10"/>
  <c r="E32" i="7"/>
  <c r="H57" i="10"/>
  <c r="A70" i="10" a="1"/>
  <c r="H61" i="10"/>
  <c r="E27" i="7"/>
  <c r="F59" i="10" l="1"/>
  <c r="C59" i="10"/>
  <c r="D59" i="10" s="1"/>
  <c r="H60" i="10"/>
  <c r="B70" i="10"/>
  <c r="D70" i="10"/>
  <c r="F70" i="10"/>
  <c r="H70" i="10"/>
  <c r="B71" i="10"/>
  <c r="D71" i="10"/>
  <c r="F71" i="10"/>
  <c r="H71" i="10"/>
  <c r="B72" i="10"/>
  <c r="D72" i="10"/>
  <c r="F72" i="10"/>
  <c r="H72" i="10"/>
  <c r="B73" i="10"/>
  <c r="D73" i="10"/>
  <c r="F73" i="10"/>
  <c r="H73" i="10"/>
  <c r="B74" i="10"/>
  <c r="D74" i="10"/>
  <c r="F74" i="10"/>
  <c r="H74" i="10"/>
  <c r="B75" i="10"/>
  <c r="D75" i="10"/>
  <c r="F75" i="10"/>
  <c r="H75" i="10"/>
  <c r="B76" i="10"/>
  <c r="D76" i="10"/>
  <c r="F76" i="10"/>
  <c r="H76" i="10"/>
  <c r="B77" i="10"/>
  <c r="D77" i="10"/>
  <c r="F77" i="10"/>
  <c r="H77" i="10"/>
  <c r="B78" i="10"/>
  <c r="D78" i="10"/>
  <c r="F78" i="10"/>
  <c r="H78" i="10"/>
  <c r="B79" i="10"/>
  <c r="D79" i="10"/>
  <c r="F79" i="10"/>
  <c r="H79" i="10"/>
  <c r="B80" i="10"/>
  <c r="D80" i="10"/>
  <c r="F80" i="10"/>
  <c r="H80" i="10"/>
  <c r="B81" i="10"/>
  <c r="D81" i="10"/>
  <c r="F81" i="10"/>
  <c r="H81" i="10"/>
  <c r="B82" i="10"/>
  <c r="D82" i="10"/>
  <c r="F82" i="10"/>
  <c r="H82" i="10"/>
  <c r="B83" i="10"/>
  <c r="D83" i="10"/>
  <c r="F83" i="10"/>
  <c r="H83" i="10"/>
  <c r="B84" i="10"/>
  <c r="D84" i="10"/>
  <c r="F84" i="10"/>
  <c r="H84" i="10"/>
  <c r="B85" i="10"/>
  <c r="D85" i="10"/>
  <c r="F85" i="10"/>
  <c r="H85" i="10"/>
  <c r="B86" i="10"/>
  <c r="D86" i="10"/>
  <c r="F86" i="10"/>
  <c r="H86" i="10"/>
  <c r="B87" i="10"/>
  <c r="D87" i="10"/>
  <c r="F87" i="10"/>
  <c r="H87" i="10"/>
  <c r="B88" i="10"/>
  <c r="D88" i="10"/>
  <c r="F88" i="10"/>
  <c r="H88" i="10"/>
  <c r="B89" i="10"/>
  <c r="D89" i="10"/>
  <c r="F89" i="10"/>
  <c r="H89" i="10"/>
  <c r="B90" i="10"/>
  <c r="D90" i="10"/>
  <c r="F90" i="10"/>
  <c r="H90" i="10"/>
  <c r="A70" i="10"/>
  <c r="E70" i="10"/>
  <c r="A71" i="10"/>
  <c r="E71" i="10"/>
  <c r="A72" i="10"/>
  <c r="E72" i="10"/>
  <c r="A73" i="10"/>
  <c r="E73" i="10"/>
  <c r="A74" i="10"/>
  <c r="E74" i="10"/>
  <c r="A75" i="10"/>
  <c r="E75" i="10"/>
  <c r="A76" i="10"/>
  <c r="E76" i="10"/>
  <c r="A77" i="10"/>
  <c r="E77" i="10"/>
  <c r="A78" i="10"/>
  <c r="E78" i="10"/>
  <c r="A79" i="10"/>
  <c r="E79" i="10"/>
  <c r="A80" i="10"/>
  <c r="E80" i="10"/>
  <c r="A81" i="10"/>
  <c r="E81" i="10"/>
  <c r="A82" i="10"/>
  <c r="E82" i="10"/>
  <c r="A83" i="10"/>
  <c r="E83" i="10"/>
  <c r="A84" i="10"/>
  <c r="E84" i="10"/>
  <c r="A85" i="10"/>
  <c r="E85" i="10"/>
  <c r="A86" i="10"/>
  <c r="E86" i="10"/>
  <c r="A87" i="10"/>
  <c r="E87" i="10"/>
  <c r="A88" i="10"/>
  <c r="E88" i="10"/>
  <c r="A89" i="10"/>
  <c r="E89" i="10"/>
  <c r="A90" i="10"/>
  <c r="E90" i="10"/>
  <c r="A91" i="10"/>
  <c r="C91" i="10"/>
  <c r="E91" i="10"/>
  <c r="G91" i="10"/>
  <c r="A92" i="10"/>
  <c r="C92" i="10"/>
  <c r="E92" i="10"/>
  <c r="G92" i="10"/>
  <c r="A93" i="10"/>
  <c r="C93" i="10"/>
  <c r="E93" i="10"/>
  <c r="G93" i="10"/>
  <c r="A94" i="10"/>
  <c r="C94" i="10"/>
  <c r="E94" i="10"/>
  <c r="G94" i="10"/>
  <c r="A95" i="10"/>
  <c r="C95" i="10"/>
  <c r="E95" i="10"/>
  <c r="G95" i="10"/>
  <c r="A96" i="10"/>
  <c r="C96" i="10"/>
  <c r="E96" i="10"/>
  <c r="G96" i="10"/>
  <c r="A97" i="10"/>
  <c r="C97" i="10"/>
  <c r="E97" i="10"/>
  <c r="G97" i="10"/>
  <c r="A98" i="10"/>
  <c r="C98" i="10"/>
  <c r="E98" i="10"/>
  <c r="G98" i="10"/>
  <c r="A99" i="10"/>
  <c r="C99" i="10"/>
  <c r="E99" i="10"/>
  <c r="G99" i="10"/>
  <c r="C70" i="10"/>
  <c r="G70" i="10"/>
  <c r="C71" i="10"/>
  <c r="G71" i="10"/>
  <c r="C72" i="10"/>
  <c r="G72" i="10"/>
  <c r="C73" i="10"/>
  <c r="G73" i="10"/>
  <c r="C74" i="10"/>
  <c r="G74" i="10"/>
  <c r="C75" i="10"/>
  <c r="G75" i="10"/>
  <c r="C76" i="10"/>
  <c r="G76" i="10"/>
  <c r="C77" i="10"/>
  <c r="G77" i="10"/>
  <c r="C78" i="10"/>
  <c r="G78" i="10"/>
  <c r="C79" i="10"/>
  <c r="G79" i="10"/>
  <c r="C80" i="10"/>
  <c r="G80" i="10"/>
  <c r="C81" i="10"/>
  <c r="G81" i="10"/>
  <c r="C82" i="10"/>
  <c r="G82" i="10"/>
  <c r="C83" i="10"/>
  <c r="G83" i="10"/>
  <c r="C84" i="10"/>
  <c r="G84" i="10"/>
  <c r="C85" i="10"/>
  <c r="G85" i="10"/>
  <c r="C86" i="10"/>
  <c r="G86" i="10"/>
  <c r="C87" i="10"/>
  <c r="G87" i="10"/>
  <c r="C88" i="10"/>
  <c r="G88" i="10"/>
  <c r="C89" i="10"/>
  <c r="G89" i="10"/>
  <c r="C90" i="10"/>
  <c r="G90" i="10"/>
  <c r="B91" i="10"/>
  <c r="D91" i="10"/>
  <c r="F91" i="10"/>
  <c r="H91" i="10"/>
  <c r="B92" i="10"/>
  <c r="D92" i="10"/>
  <c r="F92" i="10"/>
  <c r="H92" i="10"/>
  <c r="B93" i="10"/>
  <c r="D93" i="10"/>
  <c r="F93" i="10"/>
  <c r="H93" i="10"/>
  <c r="B94" i="10"/>
  <c r="D94" i="10"/>
  <c r="F94" i="10"/>
  <c r="H94" i="10"/>
  <c r="B95" i="10"/>
  <c r="D95" i="10"/>
  <c r="F95" i="10"/>
  <c r="H95" i="10"/>
  <c r="B96" i="10"/>
  <c r="D96" i="10"/>
  <c r="F96" i="10"/>
  <c r="H96" i="10"/>
  <c r="B97" i="10"/>
  <c r="D97" i="10"/>
  <c r="F97" i="10"/>
  <c r="H97" i="10"/>
  <c r="B98" i="10"/>
  <c r="D98" i="10"/>
  <c r="F98" i="10"/>
  <c r="H98" i="10"/>
  <c r="B99" i="10"/>
  <c r="D99" i="10"/>
  <c r="F99" i="10"/>
  <c r="H99" i="10"/>
  <c r="D11" i="10"/>
  <c r="D13" i="7"/>
  <c r="D14" i="10"/>
  <c r="A48" i="7"/>
  <c r="H59" i="10"/>
  <c r="D18" i="10"/>
  <c r="D16" i="7" s="1"/>
  <c r="D13" i="10"/>
  <c r="D16" i="10"/>
  <c r="D15" i="7" s="1"/>
  <c r="D14" i="7"/>
</calcChain>
</file>

<file path=xl/sharedStrings.xml><?xml version="1.0" encoding="utf-8"?>
<sst xmlns="http://schemas.openxmlformats.org/spreadsheetml/2006/main" count="687" uniqueCount="427">
  <si>
    <t>Y</t>
  </si>
  <si>
    <t>Yes</t>
  </si>
  <si>
    <t>System Configurations</t>
  </si>
  <si>
    <t>(Do not Modify)</t>
  </si>
  <si>
    <t>Category</t>
  </si>
  <si>
    <t>Property</t>
    <phoneticPr fontId="0" type="noConversion"/>
  </si>
  <si>
    <t>Value</t>
    <phoneticPr fontId="0" type="noConversion"/>
  </si>
  <si>
    <t>API Generation</t>
    <phoneticPr fontId="0" type="noConversion"/>
  </si>
  <si>
    <t>AlchemyJ compiler location</t>
  </si>
  <si>
    <t>API Generation</t>
  </si>
  <si>
    <t>Build target sheet</t>
  </si>
  <si>
    <t>Enable automatic sheet detection</t>
  </si>
  <si>
    <t>Generation mode</t>
    <phoneticPr fontId="0" type="noConversion"/>
  </si>
  <si>
    <t>Standard</t>
  </si>
  <si>
    <t>Output folder</t>
    <phoneticPr fontId="0" type="noConversion"/>
  </si>
  <si>
    <t>Build type</t>
  </si>
  <si>
    <t>Jar</t>
    <phoneticPr fontId="0" type="noConversion"/>
  </si>
  <si>
    <t>Generate API into a package</t>
    <phoneticPr fontId="0" type="noConversion"/>
  </si>
  <si>
    <t>Copy package file to folder</t>
  </si>
  <si>
    <t>Build jar output folder</t>
  </si>
  <si>
    <t>Open API output directory when finished</t>
    <phoneticPr fontId="0" type="noConversion"/>
  </si>
  <si>
    <t>Start server after API generation</t>
    <phoneticPr fontId="0" type="noConversion"/>
  </si>
  <si>
    <t>Data source</t>
    <phoneticPr fontId="0" type="noConversion"/>
  </si>
  <si>
    <t>DB connection string</t>
  </si>
  <si>
    <t>API Inspector</t>
  </si>
  <si>
    <t>API Inspector listening port</t>
    <phoneticPr fontId="0" type="noConversion"/>
  </si>
  <si>
    <t>API Inspector setting file location</t>
    <phoneticPr fontId="0" type="noConversion"/>
  </si>
  <si>
    <t>License</t>
    <phoneticPr fontId="0" type="noConversion"/>
  </si>
  <si>
    <t>AlchemyJ License key file environment variable</t>
    <phoneticPr fontId="0" type="noConversion"/>
  </si>
  <si>
    <t>AlchemyJ License key file location</t>
    <phoneticPr fontId="0" type="noConversion"/>
  </si>
  <si>
    <t>Misc</t>
    <phoneticPr fontId="0" type="noConversion"/>
  </si>
  <si>
    <t>Studio log level</t>
  </si>
  <si>
    <t>Validation</t>
  </si>
  <si>
    <t>Enable unsupported Excel function detection</t>
    <phoneticPr fontId="0" type="noConversion"/>
  </si>
  <si>
    <t>Run validation before build project</t>
  </si>
  <si>
    <t>Turn off warning message</t>
  </si>
  <si>
    <t>New Sheet for each validation run</t>
  </si>
  <si>
    <t>Validation</t>
    <phoneticPr fontId="0" type="noConversion"/>
  </si>
  <si>
    <t>Allow bypass validation error</t>
    <phoneticPr fontId="0" type="noConversion"/>
  </si>
  <si>
    <t>Package</t>
    <phoneticPr fontId="0" type="noConversion"/>
  </si>
  <si>
    <t>Workbooks included in this package</t>
    <phoneticPr fontId="0" type="noConversion"/>
  </si>
  <si>
    <t>Run</t>
    <phoneticPr fontId="0" type="noConversion"/>
  </si>
  <si>
    <t>Show function point response dialog</t>
    <phoneticPr fontId="0" type="noConversion"/>
  </si>
  <si>
    <t>Application Configurations</t>
    <phoneticPr fontId="0" type="noConversion"/>
  </si>
  <si>
    <t>Property</t>
    <phoneticPr fontId="0" type="noConversion"/>
  </si>
  <si>
    <t>Value</t>
  </si>
  <si>
    <t>parameter-separator</t>
  </si>
  <si>
    <t>-||-</t>
  </si>
  <si>
    <t>parameter-type-separator</t>
  </si>
  <si>
    <t>-##-</t>
  </si>
  <si>
    <t>System Runtime</t>
    <phoneticPr fontId="0" type="noConversion"/>
  </si>
  <si>
    <t>Value</t>
    <phoneticPr fontId="0" type="noConversion"/>
  </si>
  <si>
    <t>Running Flag</t>
  </si>
  <si>
    <t>Function Point</t>
  </si>
  <si>
    <t>REST Security User Name</t>
    <phoneticPr fontId="0" type="noConversion"/>
  </si>
  <si>
    <t>REST Security Authority List</t>
    <phoneticPr fontId="0" type="noConversion"/>
  </si>
  <si>
    <t>Database type</t>
  </si>
  <si>
    <t>Data Dictionary Address</t>
    <phoneticPr fontId="0" type="noConversion"/>
  </si>
  <si>
    <t>Required</t>
    <phoneticPr fontId="0" type="noConversion"/>
  </si>
  <si>
    <t>Description</t>
    <phoneticPr fontId="0" type="noConversion"/>
  </si>
  <si>
    <t>top</t>
  </si>
  <si>
    <t>REST API</t>
    <phoneticPr fontId="0" type="noConversion"/>
  </si>
  <si>
    <t>Basic Settings</t>
  </si>
  <si>
    <t>Remarks</t>
  </si>
  <si>
    <t>API name</t>
    <phoneticPr fontId="0" type="noConversion"/>
  </si>
  <si>
    <t>Package name</t>
    <phoneticPr fontId="0" type="noConversion"/>
  </si>
  <si>
    <t>Version</t>
    <phoneticPr fontId="0" type="noConversion"/>
  </si>
  <si>
    <t>1.0.0</t>
  </si>
  <si>
    <t>Endpoint groups</t>
    <phoneticPr fontId="0" type="noConversion"/>
  </si>
  <si>
    <t>Endpoint group Definition Sheets</t>
    <phoneticPr fontId="0" type="noConversion"/>
  </si>
  <si>
    <t>Runtime Configuration</t>
  </si>
  <si>
    <t>Remarks</t>
    <phoneticPr fontId="0" type="noConversion"/>
  </si>
  <si>
    <t>Log file location</t>
  </si>
  <si>
    <t>log</t>
    <phoneticPr fontId="0" type="noConversion"/>
  </si>
  <si>
    <t>Log level</t>
  </si>
  <si>
    <t>Time-zone</t>
  </si>
  <si>
    <t>GMT+8</t>
    <phoneticPr fontId="0" type="noConversion"/>
  </si>
  <si>
    <t>Build-and-Run Web Server Configuration</t>
  </si>
  <si>
    <t>Property</t>
    <phoneticPr fontId="0" type="noConversion"/>
  </si>
  <si>
    <t>Value</t>
    <phoneticPr fontId="0" type="noConversion"/>
  </si>
  <si>
    <t>Port</t>
  </si>
  <si>
    <t>Root path</t>
  </si>
  <si>
    <t>/</t>
  </si>
  <si>
    <t>Connection timeout</t>
  </si>
  <si>
    <t>3000</t>
  </si>
  <si>
    <t>Data Source Configuration</t>
    <phoneticPr fontId="0" type="noConversion"/>
  </si>
  <si>
    <t>Data Source ID</t>
    <phoneticPr fontId="0" type="noConversion"/>
  </si>
  <si>
    <t>primary</t>
  </si>
  <si>
    <t>Obtain connection information from</t>
  </si>
  <si>
    <t>JNDI name</t>
  </si>
  <si>
    <t>Database</t>
  </si>
  <si>
    <t>JDBC URL</t>
  </si>
  <si>
    <t>User name</t>
  </si>
  <si>
    <t>Password</t>
  </si>
  <si>
    <t>Minimum number of idle connections</t>
  </si>
  <si>
    <t>5</t>
  </si>
  <si>
    <t>Maximum pool size</t>
  </si>
  <si>
    <t>15</t>
  </si>
  <si>
    <t>Connection timeout (ms)</t>
  </si>
  <si>
    <t>30000</t>
  </si>
  <si>
    <t>primary</t>
    <phoneticPr fontId="0" type="noConversion"/>
  </si>
  <si>
    <t>Idle timeout (ms)</t>
  </si>
  <si>
    <t>600000</t>
  </si>
  <si>
    <t>Session Management</t>
    <phoneticPr fontId="0" type="noConversion"/>
  </si>
  <si>
    <t>Session storage</t>
  </si>
  <si>
    <t>Application Server</t>
  </si>
  <si>
    <t>Timeout (s)</t>
  </si>
  <si>
    <t>Expired session clean up cron (for session in DB)</t>
  </si>
  <si>
    <t>Data source ID</t>
  </si>
  <si>
    <t>LDAP Connection</t>
  </si>
  <si>
    <t>LDAP Connection ID</t>
  </si>
  <si>
    <t>Server URL</t>
  </si>
  <si>
    <t>Base Path</t>
  </si>
  <si>
    <t>Advance Settings</t>
  </si>
  <si>
    <t>Jar/War File Name</t>
  </si>
  <si>
    <t>Application Name</t>
  </si>
  <si>
    <t>Maven Group ID</t>
  </si>
  <si>
    <t>Maven Artifact ID</t>
  </si>
  <si>
    <t>Application Configuration File Location</t>
  </si>
  <si>
    <t>Application Configuration File Environment Variable</t>
  </si>
  <si>
    <t>Log Configuration File Location</t>
  </si>
  <si>
    <t>Log Configuration File Location Environment Variable</t>
  </si>
  <si>
    <t>Stop on Formula Error</t>
  </si>
  <si>
    <t>Stop on Model Error</t>
  </si>
  <si>
    <t>Throw exception on formula error</t>
  </si>
  <si>
    <t>Throw exception on model error</t>
  </si>
  <si>
    <t>Generate Excel dump file (on Debug Mode)</t>
  </si>
  <si>
    <t>Excel dump file location (on Debug Mode)</t>
  </si>
  <si>
    <t>Upload folder path</t>
    <phoneticPr fontId="0" type="noConversion"/>
  </si>
  <si>
    <t>Maven Dependency</t>
    <phoneticPr fontId="0" type="noConversion"/>
  </si>
  <si>
    <t>Maven Artifact ID</t>
    <phoneticPr fontId="0" type="noConversion"/>
  </si>
  <si>
    <t>Maven Version</t>
    <phoneticPr fontId="0" type="noConversion"/>
  </si>
  <si>
    <t>Scope</t>
    <phoneticPr fontId="0" type="noConversion"/>
  </si>
  <si>
    <t>Additional External Configuration</t>
  </si>
  <si>
    <t>OpenAPI Specification Settings</t>
    <phoneticPr fontId="0" type="noConversion"/>
  </si>
  <si>
    <t>Enable OpenAPI Specification Generation</t>
    <phoneticPr fontId="0" type="noConversion"/>
  </si>
  <si>
    <t>The OpenAPI specification will be generated in the following URL path:
/openapi/index.html</t>
    <phoneticPr fontId="0" type="noConversion"/>
  </si>
  <si>
    <t>Document Title</t>
  </si>
  <si>
    <t>Document Description</t>
  </si>
  <si>
    <t>Contact Name</t>
  </si>
  <si>
    <t>Contact URL</t>
    <phoneticPr fontId="0" type="noConversion"/>
  </si>
  <si>
    <t>Contact Email</t>
  </si>
  <si>
    <t>API License</t>
    <phoneticPr fontId="0" type="noConversion"/>
  </si>
  <si>
    <t>API License URL</t>
    <phoneticPr fontId="0" type="noConversion"/>
  </si>
  <si>
    <t>Web Protocol</t>
    <phoneticPr fontId="0" type="noConversion"/>
  </si>
  <si>
    <t>HTTP</t>
  </si>
  <si>
    <t>OpenAPI Response Code Configuration</t>
    <phoneticPr fontId="0" type="noConversion"/>
  </si>
  <si>
    <t>HTTP Response Status Code</t>
    <phoneticPr fontId="0" type="noConversion"/>
  </si>
  <si>
    <t>Message</t>
  </si>
  <si>
    <t>200</t>
  </si>
  <si>
    <t>OK</t>
  </si>
  <si>
    <t>400</t>
    <phoneticPr fontId="0" type="noConversion"/>
  </si>
  <si>
    <t>Bad Request</t>
    <phoneticPr fontId="0" type="noConversion"/>
  </si>
  <si>
    <t>For missing parameters</t>
    <phoneticPr fontId="0" type="noConversion"/>
  </si>
  <si>
    <t>404</t>
  </si>
  <si>
    <t>Not Found</t>
  </si>
  <si>
    <t>500</t>
  </si>
  <si>
    <t>Internal Server Error</t>
  </si>
  <si>
    <t>401</t>
  </si>
  <si>
    <t>Unauthorized</t>
  </si>
  <si>
    <t>This will only appear when Login or Token Authentication service is enabled.</t>
    <phoneticPr fontId="0" type="noConversion"/>
  </si>
  <si>
    <t>403</t>
  </si>
  <si>
    <t>Forbidden</t>
  </si>
  <si>
    <t>This will only appear when Endpoint Security Service is enabled.</t>
    <phoneticPr fontId="0" type="noConversion"/>
  </si>
  <si>
    <t>REST API Endpoint Group</t>
    <phoneticPr fontId="0" type="noConversion"/>
  </si>
  <si>
    <t>Endpoint group</t>
    <phoneticPr fontId="0" type="noConversion"/>
  </si>
  <si>
    <t>Endpoint group path</t>
    <phoneticPr fontId="0" type="noConversion"/>
  </si>
  <si>
    <t>Tags</t>
  </si>
  <si>
    <t>Description</t>
  </si>
  <si>
    <t>Function Points</t>
    <phoneticPr fontId="0" type="noConversion"/>
  </si>
  <si>
    <t>Path</t>
    <phoneticPr fontId="0" type="noConversion"/>
  </si>
  <si>
    <t>Operation</t>
    <phoneticPr fontId="0" type="noConversion"/>
  </si>
  <si>
    <t>Response Data Address</t>
    <phoneticPr fontId="0" type="noConversion"/>
  </si>
  <si>
    <t>DB Operation Type</t>
  </si>
  <si>
    <t>Mark Deprecated</t>
  </si>
  <si>
    <t>Notes</t>
    <phoneticPr fontId="0" type="noConversion"/>
  </si>
  <si>
    <t>Input Parameters</t>
    <phoneticPr fontId="0" type="noConversion"/>
  </si>
  <si>
    <t>Function Point</t>
    <phoneticPr fontId="0" type="noConversion"/>
  </si>
  <si>
    <t>Style</t>
  </si>
  <si>
    <t>Name</t>
    <phoneticPr fontId="0" type="noConversion"/>
  </si>
  <si>
    <t>Data Type</t>
    <phoneticPr fontId="0" type="noConversion"/>
  </si>
  <si>
    <t>Data Address</t>
    <phoneticPr fontId="0" type="noConversion"/>
  </si>
  <si>
    <t>Default Value</t>
  </si>
  <si>
    <t>Example Value</t>
  </si>
  <si>
    <t>Function Point Response Operations</t>
    <phoneticPr fontId="0" type="noConversion"/>
  </si>
  <si>
    <t>Related Worksheets</t>
    <phoneticPr fontId="0" type="noConversion"/>
  </si>
  <si>
    <t>Worksheet Effective Range</t>
    <phoneticPr fontId="0" type="noConversion"/>
  </si>
  <si>
    <t>Data source configuration</t>
  </si>
  <si>
    <t>1800</t>
  </si>
  <si>
    <t>spring.jmx.default-domain</t>
  </si>
  <si>
    <t>server.servlet.path</t>
  </si>
  <si>
    <t>/*</t>
  </si>
  <si>
    <t>Data Section</t>
  </si>
  <si>
    <t>POST</t>
  </si>
  <si>
    <t>Non-transactional</t>
  </si>
  <si>
    <t>Request body</t>
  </si>
  <si>
    <t>Object</t>
  </si>
  <si>
    <t>DB Schema</t>
    <phoneticPr fontId="0" type="noConversion"/>
  </si>
  <si>
    <t>Table Owner</t>
    <phoneticPr fontId="0" type="noConversion"/>
  </si>
  <si>
    <t>Table Name</t>
  </si>
  <si>
    <t>Column ID</t>
  </si>
  <si>
    <t>Column Display Name</t>
  </si>
  <si>
    <t>Column Name</t>
  </si>
  <si>
    <t>Data Type</t>
  </si>
  <si>
    <t>Data Length</t>
  </si>
  <si>
    <t>Data Precision</t>
  </si>
  <si>
    <t>Data Scale</t>
  </si>
  <si>
    <t>Mandatory</t>
  </si>
  <si>
    <t>Key Order</t>
    <phoneticPr fontId="0" type="noConversion"/>
  </si>
  <si>
    <t>Default Value Type</t>
  </si>
  <si>
    <t>In Out</t>
  </si>
  <si>
    <t>Mapped Data Type</t>
    <phoneticPr fontId="0" type="noConversion"/>
  </si>
  <si>
    <t>Data Name</t>
    <phoneticPr fontId="0" type="noConversion"/>
  </si>
  <si>
    <t>Case Insensitive</t>
    <phoneticPr fontId="0" type="noConversion"/>
  </si>
  <si>
    <t>varchar</t>
  </si>
  <si>
    <t>String</t>
  </si>
  <si>
    <t>int</t>
  </si>
  <si>
    <t>Integer</t>
  </si>
  <si>
    <t>PROD_ID</t>
  </si>
  <si>
    <t>PROD_CODE</t>
  </si>
  <si>
    <t>PROD_NAME</t>
  </si>
  <si>
    <t>PROD_TYPE</t>
  </si>
  <si>
    <t>PRICE</t>
  </si>
  <si>
    <t>decimal</t>
  </si>
  <si>
    <t>Double</t>
  </si>
  <si>
    <t>INVENTORY</t>
  </si>
  <si>
    <t>UNIT</t>
  </si>
  <si>
    <t>SUPPLIER</t>
  </si>
  <si>
    <t>Data Dictionary</t>
  </si>
  <si>
    <t>Error Message Settings</t>
  </si>
  <si>
    <t>Basic</t>
  </si>
  <si>
    <t>Date</t>
  </si>
  <si>
    <t>Display Name</t>
  </si>
  <si>
    <t>Required</t>
  </si>
  <si>
    <t>Multiple Of</t>
  </si>
  <si>
    <t>Maximum</t>
  </si>
  <si>
    <t>Exclusive Maximum</t>
  </si>
  <si>
    <t>Minimum</t>
  </si>
  <si>
    <t>Exclusive Minimum</t>
  </si>
  <si>
    <t>Number Value List</t>
  </si>
  <si>
    <t>Max Length</t>
  </si>
  <si>
    <t>Min Length</t>
  </si>
  <si>
    <t>String Value List</t>
  </si>
  <si>
    <t>Pattern</t>
  </si>
  <si>
    <t>Format Type</t>
  </si>
  <si>
    <t>Case Conversion</t>
  </si>
  <si>
    <t>On and After</t>
  </si>
  <si>
    <t>Maximum Days</t>
  </si>
  <si>
    <t>On and Before</t>
  </si>
  <si>
    <t>Allowed Days of Week</t>
  </si>
  <si>
    <t>Disallow Dates</t>
  </si>
  <si>
    <t>Disallowed Dates Handling</t>
  </si>
  <si>
    <t>Convert To</t>
  </si>
  <si>
    <t>Min File Size</t>
  </si>
  <si>
    <t>Max File Size</t>
  </si>
  <si>
    <t>File Name Pattern</t>
  </si>
  <si>
    <t>Allowed File Extension</t>
  </si>
  <si>
    <t>Disallowed File Extension</t>
  </si>
  <si>
    <t>Magic Number Check</t>
  </si>
  <si>
    <t>Value of [Display Name] is not of type [Config Value].</t>
  </si>
  <si>
    <t>[Display Name] is required.</t>
  </si>
  <si>
    <t>[Display Name] must be a multiple of [Config Value].</t>
  </si>
  <si>
    <t>[Display Name] cannot be greater than [Config Value].</t>
  </si>
  <si>
    <t>[Display Name] must be less than [Config Value].</t>
  </si>
  <si>
    <t>[Display Name] cannot be less than [Config Value].</t>
  </si>
  <si>
    <t>[Display Name] must be greater than [Config Value].</t>
  </si>
  <si>
    <t>[Display Name] is not one of the valid options.</t>
  </si>
  <si>
    <t>[Display Name] cannot have more than [Config Value] characters.</t>
  </si>
  <si>
    <t>[Display Name] must contain at least [Config Value] characters.</t>
  </si>
  <si>
    <t>[Display Name] does not meet its required format.</t>
  </si>
  <si>
    <t>[Display Name] is not a valid [Config Value].</t>
  </si>
  <si>
    <t>[Display Name] is not allowed date.</t>
  </si>
  <si>
    <t>Data Items</t>
  </si>
  <si>
    <t>Data Name</t>
  </si>
  <si>
    <t>Rounding</t>
  </si>
  <si>
    <t>Rounding Number of Digits</t>
  </si>
  <si>
    <t>##RestEndpointGroup</t>
  </si>
  <si>
    <t>##RestApi</t>
  </si>
  <si>
    <t>CRUD</t>
    <phoneticPr fontId="2" type="noConversion"/>
  </si>
  <si>
    <t>Data Relationship Schema</t>
    <phoneticPr fontId="8" type="noConversion"/>
  </si>
  <si>
    <t>JSON Node Name</t>
    <phoneticPr fontId="8" type="noConversion"/>
  </si>
  <si>
    <t>Table</t>
    <phoneticPr fontId="8" type="noConversion"/>
  </si>
  <si>
    <t>Table Address</t>
    <phoneticPr fontId="8" type="noConversion"/>
  </si>
  <si>
    <t>Parent Table</t>
    <phoneticPr fontId="8" type="noConversion"/>
  </si>
  <si>
    <t>Key</t>
    <phoneticPr fontId="8" type="noConversion"/>
  </si>
  <si>
    <t>Multiple Row</t>
    <phoneticPr fontId="8" type="noConversion"/>
  </si>
  <si>
    <t>Data Dictionary Address</t>
    <phoneticPr fontId="8" type="noConversion"/>
  </si>
  <si>
    <t>Header Position</t>
    <phoneticPr fontId="8" type="noConversion"/>
  </si>
  <si>
    <t>Required</t>
    <phoneticPr fontId="8" type="noConversion"/>
  </si>
  <si>
    <t>Description</t>
    <phoneticPr fontId="8" type="noConversion"/>
  </si>
  <si>
    <t>API Model Name</t>
    <phoneticPr fontId="8" type="noConversion"/>
  </si>
  <si>
    <t>CrudObj</t>
    <phoneticPr fontId="8" type="noConversion"/>
  </si>
  <si>
    <t>left</t>
  </si>
  <si>
    <t>Respone Data</t>
    <phoneticPr fontId="8" type="noConversion"/>
  </si>
  <si>
    <t>Result - Read (REST)</t>
    <phoneticPr fontId="8" type="noConversion"/>
  </si>
  <si>
    <t>Result - Delete (REST)</t>
    <phoneticPr fontId="8" type="noConversion"/>
  </si>
  <si>
    <t>Result - Create (REST)</t>
    <phoneticPr fontId="8" type="noConversion"/>
  </si>
  <si>
    <t>Table Name</t>
    <phoneticPr fontId="8" type="noConversion"/>
  </si>
  <si>
    <t>Table Owner</t>
    <phoneticPr fontId="8" type="noConversion"/>
  </si>
  <si>
    <t>Name</t>
    <phoneticPr fontId="8" type="noConversion"/>
  </si>
  <si>
    <t>Filter Condition (Filter_Type = 2) For Read</t>
    <phoneticPr fontId="8" type="noConversion"/>
  </si>
  <si>
    <t>Value</t>
    <phoneticPr fontId="8" type="noConversion"/>
  </si>
  <si>
    <t>Sorting Criteria</t>
  </si>
  <si>
    <t>Data Name</t>
    <phoneticPr fontId="8" type="noConversion"/>
  </si>
  <si>
    <t>Sorting Order</t>
  </si>
  <si>
    <t>Sorting Direction</t>
  </si>
  <si>
    <t>ProductID</t>
  </si>
  <si>
    <t>ProductCode</t>
  </si>
  <si>
    <t>Paging</t>
    <phoneticPr fontId="8" type="noConversion"/>
  </si>
  <si>
    <t>Page</t>
    <phoneticPr fontId="8" type="noConversion"/>
  </si>
  <si>
    <t>Record Per Page</t>
    <phoneticPr fontId="8" type="noConversion"/>
  </si>
  <si>
    <t>Input Value</t>
    <phoneticPr fontId="8" type="noConversion"/>
  </si>
  <si>
    <t>Result</t>
    <phoneticPr fontId="8" type="noConversion"/>
  </si>
  <si>
    <t>Function Point</t>
    <phoneticPr fontId="8" type="noConversion"/>
  </si>
  <si>
    <t>Condition</t>
    <phoneticPr fontId="8" type="noConversion"/>
  </si>
  <si>
    <t>Custom Condition</t>
    <phoneticPr fontId="8" type="noConversion"/>
  </si>
  <si>
    <t>Run</t>
    <phoneticPr fontId="8" type="noConversion"/>
  </si>
  <si>
    <t>Return Type</t>
    <phoneticPr fontId="8" type="noConversion"/>
  </si>
  <si>
    <t xml:space="preserve">Result - Read </t>
    <phoneticPr fontId="8" type="noConversion"/>
  </si>
  <si>
    <t>/product</t>
  </si>
  <si>
    <t>GET</t>
  </si>
  <si>
    <t>PUT</t>
  </si>
  <si>
    <t>DELETE</t>
  </si>
  <si>
    <t>Create Product</t>
  </si>
  <si>
    <t>Read Product</t>
  </si>
  <si>
    <t>Update Product</t>
  </si>
  <si>
    <t>Delete Product</t>
  </si>
  <si>
    <t>ProductName</t>
  </si>
  <si>
    <t>ProductType</t>
  </si>
  <si>
    <t>Price</t>
  </si>
  <si>
    <t>Inventory</t>
  </si>
  <si>
    <t>Unit</t>
  </si>
  <si>
    <t>Supplier</t>
  </si>
  <si>
    <t>TotalCount</t>
  </si>
  <si>
    <t>Transactional</t>
  </si>
  <si>
    <t>Request parameter</t>
  </si>
  <si>
    <t>No</t>
  </si>
  <si>
    <t>URI path segment</t>
  </si>
  <si>
    <t>Input - Data (Rest - Update &amp; Create)</t>
  </si>
  <si>
    <t>/product/{ProductID}</t>
  </si>
  <si>
    <t>Number</t>
    <phoneticPr fontId="11" type="noConversion"/>
  </si>
  <si>
    <t>File</t>
    <phoneticPr fontId="11" type="noConversion"/>
  </si>
  <si>
    <t>Date Format</t>
    <phoneticPr fontId="11" type="noConversion"/>
  </si>
  <si>
    <t>Minimum Days</t>
    <phoneticPr fontId="11" type="noConversion"/>
  </si>
  <si>
    <t>Date format for [Display Name] should be defined.</t>
    <phoneticPr fontId="11" type="noConversion"/>
  </si>
  <si>
    <t>The date cannot be earlier than [Final Config Value].</t>
    <phoneticPr fontId="11" type="noConversion"/>
  </si>
  <si>
    <t>The date cannot be later than [Final Config Value].</t>
    <phoneticPr fontId="11" type="noConversion"/>
  </si>
  <si>
    <t>[Display Name] is not allowed day.</t>
    <phoneticPr fontId="11" type="noConversion"/>
  </si>
  <si>
    <t>[Display Name] cannot be converted to [Config Value].</t>
    <phoneticPr fontId="11" type="noConversion"/>
  </si>
  <si>
    <t>File size cannot be less than minimum file size [Config Value] MB.</t>
    <phoneticPr fontId="11" type="noConversion"/>
  </si>
  <si>
    <t>[Display Name] file size cannot exceed the maximum file size [Config Value] MB.</t>
    <phoneticPr fontId="11" type="noConversion"/>
  </si>
  <si>
    <t>File name is not matched with the required format</t>
    <phoneticPr fontId="11" type="noConversion"/>
  </si>
  <si>
    <t>File type is not allowed. Allowed file extension is [Config Value].</t>
    <phoneticPr fontId="11" type="noConversion"/>
  </si>
  <si>
    <t>File type [Config Value] is not allowed.</t>
    <phoneticPr fontId="11" type="noConversion"/>
  </si>
  <si>
    <t>Magic number checking of the file is failed.</t>
    <phoneticPr fontId="11" type="noConversion"/>
  </si>
  <si>
    <t>On and After</t>
    <phoneticPr fontId="11" type="noConversion"/>
  </si>
  <si>
    <t>Maximum Days</t>
    <phoneticPr fontId="11" type="noConversion"/>
  </si>
  <si>
    <t>On and Before</t>
    <phoneticPr fontId="11" type="noConversion"/>
  </si>
  <si>
    <t>Allowed Days of Week</t>
    <phoneticPr fontId="11" type="noConversion"/>
  </si>
  <si>
    <t>Disallow Dates</t>
    <phoneticPr fontId="11" type="noConversion"/>
  </si>
  <si>
    <t>Disallowed Dates Handling</t>
    <phoneticPr fontId="11" type="noConversion"/>
  </si>
  <si>
    <t>Min File Size</t>
    <phoneticPr fontId="11" type="noConversion"/>
  </si>
  <si>
    <t>Max File Size</t>
    <phoneticPr fontId="11" type="noConversion"/>
  </si>
  <si>
    <t>File Name Pattern</t>
    <phoneticPr fontId="11" type="noConversion"/>
  </si>
  <si>
    <t>Disallowed File Extension</t>
    <phoneticPr fontId="11" type="noConversion"/>
  </si>
  <si>
    <t>Magic Number Check</t>
    <phoneticPr fontId="11" type="noConversion"/>
  </si>
  <si>
    <t>ProductObj</t>
  </si>
  <si>
    <t>ProductList</t>
  </si>
  <si>
    <t>JSON Node Name</t>
  </si>
  <si>
    <t>Table</t>
  </si>
  <si>
    <t>Table Address</t>
  </si>
  <si>
    <t>Parent Table</t>
  </si>
  <si>
    <t>Key</t>
  </si>
  <si>
    <t>Multiple Row</t>
  </si>
  <si>
    <t>Data Dictionary Address</t>
  </si>
  <si>
    <t>Header Position</t>
  </si>
  <si>
    <t>API Model Name</t>
  </si>
  <si>
    <t>RecordSet</t>
  </si>
  <si>
    <t>AffectedRecords</t>
  </si>
  <si>
    <t>Result - Update (REST)</t>
  </si>
  <si>
    <t>CrudObj</t>
  </si>
  <si>
    <t>DataItems</t>
  </si>
  <si>
    <t>DataItem</t>
  </si>
  <si>
    <t>ReadResult</t>
  </si>
  <si>
    <t>CreateResult</t>
  </si>
  <si>
    <t>UpdateResult</t>
  </si>
  <si>
    <t>DeleteResult</t>
  </si>
  <si>
    <t>Instructions</t>
  </si>
  <si>
    <t>1. Introduction</t>
  </si>
  <si>
    <t>2. Overview of Tabs</t>
  </si>
  <si>
    <t>b. Click AlchemyJ -&gt; Properties, go to Data Source tab, change Database type and input the DB connection string.</t>
    <phoneticPr fontId="23" type="noConversion"/>
  </si>
  <si>
    <t>http://localhost:8080/openapi/index.html</t>
  </si>
  <si>
    <t>AchemyJ Sample API</t>
  </si>
  <si>
    <t>CRUD</t>
  </si>
  <si>
    <t>The implement for regular CRUD operation.</t>
  </si>
  <si>
    <t>3. How to Run this sample API</t>
  </si>
  <si>
    <t>c. For running a compiled API, change DB setting items in sheet ##RestApi, section Data Source Configuration.</t>
  </si>
  <si>
    <t>Database: Select your DB type from the dropdown list.</t>
  </si>
  <si>
    <t>JDBC URL: Change JDBC connection string.</t>
  </si>
  <si>
    <t>User name: Input DB login user.</t>
  </si>
  <si>
    <t>Password: Input DB user password.</t>
  </si>
  <si>
    <t>To run the sample API, follow the steps:</t>
  </si>
  <si>
    <t>d. Click AlchemyJ -&gt; Generate API, compile the workbook and generate API, a server will start after the API is built by default.</t>
  </si>
  <si>
    <t>To test the functions in AlchemyJ Studio: Type parameter values in Data Section which column headers are in blue, then click Run Function Point to choose the function you want to test. The result is shown in a pop-up dialogue box.</t>
  </si>
  <si>
    <t>To test the generated API: Access the link below.</t>
  </si>
  <si>
    <t>Error</t>
  </si>
  <si>
    <t>MySQL</t>
  </si>
  <si>
    <t>tb_product</t>
  </si>
  <si>
    <t>a. Run the DB deploy script ..\Database\MySQL.sql. Note that this is MySQL script, you can move it to Oracle or MSSQL.</t>
  </si>
  <si>
    <t>(Check Total Records)</t>
  </si>
  <si>
    <t>(Purge Needless Records)</t>
  </si>
  <si>
    <t>SQL Statement</t>
  </si>
  <si>
    <t>Parameters</t>
  </si>
  <si>
    <t>aj_user</t>
  </si>
  <si>
    <t>Axisoft8*</t>
  </si>
  <si>
    <t>desc</t>
  </si>
  <si>
    <t>This sample defines a RestApi which contains 4 functions: Create Product, Read Product, Update Product, Delete Product.</t>
  </si>
  <si>
    <t>ajsamplecrud</t>
  </si>
  <si>
    <t>io.alchmeyj.samplecrud</t>
  </si>
  <si>
    <t>alchemyjsample</t>
  </si>
  <si>
    <t>Alchemy Sample CURD API</t>
  </si>
  <si>
    <t>The CURD sample includes 4 functions:
1. Create Product
2. Read Product
3. Update Product
4. Delete Product</t>
  </si>
  <si>
    <t>AjSampleCRUD</t>
  </si>
  <si>
    <t>/ajsamplecrud</t>
  </si>
  <si>
    <t>This is an AlchemyJ model workbook that implements  a sample regular CRUD operation.</t>
  </si>
  <si>
    <t>jdbc:mysql://192.168.5.154:3306/aj_sample_test</t>
  </si>
  <si>
    <t>Driver={MySQL ODBC 8.0 Unicode Driver};Server=192.168.5.154;Port=3306;DB=aj_sample_test;UID=aj_user;PWD=Axisoft8*;OPTION=3;</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</si>
</sst>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sz val="11"/>
      <color theme="1"/>
      <name val="Calibri"/>
      <family val="2"/>
      <scheme val="minor"/>
    </font>
    <font>
      <sz val="11"/>
      <color theme="1"/>
      <name val="Calibri"/>
      <family val="2"/>
      <charset val="134"/>
      <scheme val="minor"/>
    </font>
    <font>
      <sz val="14"/>
      <color theme="0"/>
      <name val="Calibri"/>
      <family val="2"/>
    </font>
    <font>
      <sz val="12"/>
      <color theme="0"/>
      <name val="Calibri"/>
      <family val="2"/>
    </font>
    <font>
      <sz val="11"/>
      <color theme="1"/>
      <name val="Cambria"/>
      <family val="2"/>
    </font>
    <font>
      <b/>
      <sz val="11"/>
      <name val="Calibri"/>
      <family val="2"/>
    </font>
    <font>
      <sz val="11"/>
      <color theme="1"/>
      <name val="Calibri"/>
      <family val="2"/>
      <charset val="136"/>
      <scheme val="minor"/>
    </font>
    <font>
      <sz val="11"/>
      <color theme="1"/>
      <name val="Calibri"/>
      <family val="2"/>
    </font>
    <font>
      <sz val="11"/>
      <name val="Calibri"/>
      <family val="2"/>
    </font>
    <font>
      <b/>
      <sz val="16"/>
      <color theme="4" tint="-0.249977111117893"/>
      <name val="Calibri"/>
      <family val="2"/>
    </font>
    <font>
      <sz val="11"/>
      <color rgb="FF000000"/>
      <name val="Calibri"/>
      <family val="2"/>
    </font>
    <font>
      <b/>
      <sz val="11"/>
      <color theme="1"/>
      <name val="Calibri"/>
      <family val="2"/>
    </font>
    <font>
      <sz val="11"/>
      <name val="Calibri"/>
      <family val="2"/>
      <scheme val="minor"/>
    </font>
    <font>
      <sz val="11"/>
      <color theme="1"/>
      <name val="Calibri"/>
    </font>
    <font>
      <sz val="11"/>
      <color rgb="FF9C0006"/>
      <name val="Calibri"/>
      <family val="2"/>
      <scheme val="minor"/>
    </font>
    <font>
      <sz val="11"/>
      <color theme="0"/>
      <name val="Calibri"/>
      <family val="2"/>
      <scheme val="minor"/>
    </font>
    <font>
      <sz val="18"/>
      <color theme="3"/>
      <name val="Calibri Light"/>
      <family val="2"/>
      <charset val="134"/>
      <scheme val="major"/>
    </font>
    <font>
      <b/>
      <sz val="11"/>
      <color theme="4" tint="-0.249977111117893"/>
      <name val="Calibri"/>
      <family val="2"/>
    </font>
    <font>
      <sz val="11"/>
      <color theme="0"/>
      <name val="Calibri"/>
      <family val="2"/>
      <charset val="134"/>
      <scheme val="minor"/>
    </font>
    <font>
      <b/>
      <sz val="11"/>
      <color rgb="FFFA7D00"/>
      <name val="Calibri"/>
      <family val="2"/>
      <charset val="134"/>
      <scheme val="minor"/>
    </font>
    <font>
      <b/>
      <sz val="11"/>
      <color rgb="FF3F3F3F"/>
      <name val="Calibri"/>
      <family val="2"/>
      <charset val="134"/>
      <scheme val="minor"/>
    </font>
    <font>
      <sz val="11"/>
      <color rgb="FF3F3F3F"/>
      <name val="Calibri"/>
      <family val="2"/>
      <scheme val="minor"/>
    </font>
    <font>
      <b/>
      <sz val="11"/>
      <color theme="1"/>
      <name val="Calibri"/>
      <family val="2"/>
      <scheme val="minor"/>
    </font>
    <font>
      <sz val="18"/>
      <color theme="1"/>
      <name val="Calibri"/>
      <family val="2"/>
    </font>
    <font>
      <sz val="16"/>
      <color theme="1"/>
      <name val="Calibri"/>
      <family val="2"/>
    </font>
    <font>
      <sz val="14"/>
      <color theme="1"/>
      <name val="Calibri"/>
      <family val="2"/>
    </font>
    <font>
      <u/>
      <sz val="11"/>
      <color rgb="FF0000FF"/>
      <name val="Calibri"/>
      <family val="2"/>
    </font>
    <font>
      <sz val="11"/>
      <color rgb="FF000000"/>
      <name val="Calibri"/>
    </font>
  </fonts>
  <fills count="15">
    <fill>
      <patternFill patternType="none"/>
    </fill>
    <fill>
      <patternFill patternType="gray125"/>
    </fill>
    <fill>
      <gradientFill degree="90">
        <stop position="0">
          <color theme="4" tint="-0.25098422193060094"/>
        </stop>
        <stop position="0.5">
          <color theme="3" tint="0.40000610370189521"/>
        </stop>
        <stop position="1">
          <color theme="4" tint="-0.25098422193060094"/>
        </stop>
      </gradientFill>
    </fill>
    <fill>
      <gradientFill degree="90">
        <stop position="0">
          <color theme="3" tint="0.80001220740379042"/>
        </stop>
        <stop position="1">
          <color theme="3" tint="0.59999389629810485"/>
        </stop>
      </gradientFill>
    </fill>
    <fill>
      <patternFill patternType="solid">
        <fgColor theme="3" tint="0.80001220740379042"/>
        <bgColor theme="4"/>
      </patternFill>
    </fill>
    <fill>
      <patternFill patternType="solid">
        <fgColor theme="4" tint="0.79998168889431442"/>
        <bgColor theme="4" tint="0.79998168889431442"/>
      </patternFill>
    </fill>
    <fill>
      <patternFill patternType="solid">
        <fgColor theme="4"/>
        <bgColor theme="4"/>
      </patternFill>
    </fill>
    <fill>
      <gradientFill degree="90">
        <stop position="0">
          <color rgb="FF92D050"/>
        </stop>
        <stop position="1">
          <color rgb="FF00B050"/>
        </stop>
      </gradientFill>
    </fill>
    <fill>
      <gradientFill degree="90">
        <stop position="0">
          <color theme="3" tint="0.59999389629810485"/>
        </stop>
        <stop position="1">
          <color theme="3" tint="0.40000610370189521"/>
        </stop>
      </gradientFill>
    </fill>
    <fill>
      <gradientFill degree="90">
        <stop position="0">
          <color theme="9" tint="0.40000610370189521"/>
        </stop>
        <stop position="1">
          <color theme="9" tint="-0.25098422193060094"/>
        </stop>
      </gradientFill>
    </fill>
    <fill>
      <gradientFill degree="90">
        <stop position="0">
          <color theme="8" tint="0.59999389629810485"/>
        </stop>
        <stop position="1">
          <color theme="8" tint="0.40000610370189521"/>
        </stop>
      </gradientFill>
    </fill>
    <fill>
      <gradientFill degree="90">
        <stop position="0">
          <color theme="7" tint="0.59999389629810485"/>
        </stop>
        <stop position="1">
          <color theme="7" tint="0.40000610370189521"/>
        </stop>
      </gradientFill>
    </fill>
    <fill>
      <patternFill patternType="solid">
        <fgColor rgb="FFFFC7CE"/>
      </patternFill>
    </fill>
    <fill>
      <patternFill patternType="solid">
        <fgColor rgb="FFF2F2F2"/>
      </patternFill>
    </fill>
    <fill>
      <patternFill patternType="solid">
        <fgColor theme="8"/>
      </patternFill>
    </fill>
  </fills>
  <borders count="29">
    <border>
      <left/>
      <right/>
      <top/>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top style="thin">
        <color theme="4" tint="0.39997558519241921"/>
      </top>
      <bottom style="medium">
        <color theme="3" tint="0.59996337778862885"/>
      </bottom>
      <diagonal/>
    </border>
    <border>
      <left style="thin">
        <color theme="4" tint="-0.499984740745262"/>
      </left>
      <right/>
      <top style="thin">
        <color theme="4" tint="-0.499984740745262"/>
      </top>
      <bottom/>
      <diagonal/>
    </border>
    <border>
      <left/>
      <right/>
      <top style="thin">
        <color theme="4" tint="-0.499984740745262"/>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indexed="64"/>
      </bottom>
      <diagonal/>
    </border>
    <border>
      <left/>
      <right/>
      <top/>
      <bottom style="medium">
        <color theme="3" tint="0.59996337778862885"/>
      </bottom>
      <diagonal/>
    </border>
    <border>
      <left/>
      <right/>
      <top style="thin">
        <color theme="4" tint="0.39997558519241921"/>
      </top>
      <bottom/>
      <diagonal/>
    </border>
    <border>
      <left style="thin">
        <color indexed="64"/>
      </left>
      <right/>
      <top style="thin">
        <color theme="4" tint="0.39997558519241921"/>
      </top>
      <bottom style="thin">
        <color theme="4" tint="0.39997558519241921"/>
      </bottom>
      <diagonal/>
    </border>
    <border>
      <left/>
      <right style="thin">
        <color theme="8" tint="0.39997558519241921"/>
      </right>
      <top style="thin">
        <color theme="4" tint="0.39997558519241921"/>
      </top>
      <bottom style="thin">
        <color theme="4" tint="0.39997558519241921"/>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4" tint="0.39997558519241921"/>
      </left>
      <right/>
      <top style="thin">
        <color theme="4" tint="0.39997558519241921"/>
      </top>
      <bottom style="thin">
        <color indexed="64"/>
      </bottom>
      <diagonal/>
    </border>
    <border>
      <left/>
      <right/>
      <top style="thin">
        <color theme="4" tint="0.39997558519241921"/>
      </top>
      <bottom style="thin">
        <color indexed="64"/>
      </bottom>
      <diagonal/>
    </border>
    <border>
      <left style="thin">
        <color theme="4" tint="0.39997558519241921"/>
      </left>
      <right style="thin">
        <color theme="1"/>
      </right>
      <top style="thin">
        <color theme="4" tint="0.39997558519241921"/>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theme="4" tint="-0.499984740745262"/>
      </left>
      <right/>
      <top/>
      <bottom/>
      <diagonal/>
    </border>
    <border>
      <left style="thin">
        <color indexed="64"/>
      </left>
      <right/>
      <top style="thin">
        <color indexed="64"/>
      </top>
      <bottom style="thin">
        <color theme="4" tint="0.39997558519241921"/>
      </bottom>
      <diagonal/>
    </border>
    <border>
      <left style="thin">
        <color theme="4" tint="0.39997558519241921"/>
      </left>
      <right/>
      <top style="thin">
        <color indexed="64"/>
      </top>
      <bottom style="thin">
        <color theme="4" tint="0.39997558519241921"/>
      </bottom>
      <diagonal/>
    </border>
  </borders>
  <cellStyleXfs count="20">
    <xf numFmtId="0" fontId="0" fillId="0" borderId="0"/>
    <xf numFmtId="0" fontId="2" fillId="0" borderId="0"/>
    <xf numFmtId="0" fontId="5" fillId="0" borderId="0"/>
    <xf numFmtId="0" fontId="2" fillId="0" borderId="0"/>
    <xf numFmtId="0" fontId="7" fillId="0" borderId="0">
      <alignment vertical="center"/>
    </xf>
    <xf numFmtId="0" fontId="2" fillId="0" borderId="0"/>
    <xf numFmtId="0" fontId="2" fillId="0" borderId="0"/>
    <xf numFmtId="0" fontId="5" fillId="0" borderId="0"/>
    <xf numFmtId="0" fontId="2" fillId="0" borderId="0"/>
    <xf numFmtId="0" fontId="2" fillId="0" borderId="0"/>
    <xf numFmtId="0" fontId="1" fillId="0" borderId="0"/>
    <xf numFmtId="0" fontId="2" fillId="0" borderId="0">
      <alignment vertical="center"/>
    </xf>
    <xf numFmtId="0" fontId="17" fillId="0" borderId="0" applyNumberFormat="0" applyFill="0" applyBorder="0" applyAlignment="0" applyProtection="0">
      <alignment vertical="center"/>
    </xf>
    <xf numFmtId="0" fontId="19" fillId="14" borderId="0">
      <alignment vertical="top"/>
    </xf>
    <xf numFmtId="0" fontId="1" fillId="0" borderId="0"/>
    <xf numFmtId="0" fontId="16" fillId="14" borderId="0" applyNumberFormat="0" applyBorder="0" applyAlignment="0" applyProtection="0"/>
    <xf numFmtId="0" fontId="19" fillId="14" borderId="0" applyNumberFormat="0" applyBorder="0" applyAlignment="0" applyProtection="0">
      <alignment vertical="center"/>
    </xf>
    <xf numFmtId="0" fontId="15" fillId="12" borderId="0" applyNumberFormat="0" applyBorder="0" applyAlignment="0" applyProtection="0"/>
    <xf numFmtId="0" fontId="20" fillId="13" borderId="16" applyNumberFormat="0" applyAlignment="0" applyProtection="0">
      <alignment vertical="center"/>
    </xf>
    <xf numFmtId="0" fontId="21" fillId="13" borderId="17" applyNumberFormat="0" applyAlignment="0" applyProtection="0">
      <alignment vertical="center"/>
    </xf>
  </cellStyleXfs>
  <cellXfs count="142">
    <xf numFmtId="0" fontId="0" fillId="0" borderId="0" xfId="0"/>
    <xf numFmtId="0" fontId="3" fillId="2" borderId="1" xfId="1" applyNumberFormat="1" applyFont="1" applyFill="1" applyBorder="1"/>
    <xf numFmtId="0" fontId="4" fillId="2" borderId="2" xfId="1" applyNumberFormat="1" applyFont="1" applyFill="1" applyBorder="1"/>
    <xf numFmtId="0" fontId="3" fillId="2" borderId="3" xfId="1" applyNumberFormat="1" applyFont="1" applyFill="1" applyBorder="1"/>
    <xf numFmtId="0" fontId="5" fillId="0" borderId="0" xfId="2"/>
    <xf numFmtId="0" fontId="6" fillId="3" borderId="4" xfId="3" applyNumberFormat="1" applyFont="1" applyFill="1" applyBorder="1" applyAlignment="1"/>
    <xf numFmtId="0" fontId="8" fillId="0" borderId="0" xfId="4" applyFont="1" applyAlignment="1">
      <alignment vertical="top"/>
    </xf>
    <xf numFmtId="0" fontId="8" fillId="0" borderId="0" xfId="4" applyFont="1" applyFill="1" applyAlignment="1">
      <alignment horizontal="left" vertical="top" wrapText="1"/>
    </xf>
    <xf numFmtId="0" fontId="8" fillId="0" borderId="0" xfId="4" applyFont="1" applyAlignment="1">
      <alignment horizontal="left" vertical="top" wrapText="1"/>
    </xf>
    <xf numFmtId="0" fontId="8" fillId="0" borderId="0" xfId="4" applyFont="1">
      <alignment vertical="center"/>
    </xf>
    <xf numFmtId="0" fontId="8" fillId="0" borderId="0" xfId="4" applyFont="1" applyAlignment="1">
      <alignment vertical="top" wrapText="1"/>
    </xf>
    <xf numFmtId="0" fontId="8" fillId="0" borderId="0" xfId="2" applyFont="1" applyAlignment="1">
      <alignment vertical="top"/>
    </xf>
    <xf numFmtId="0" fontId="8" fillId="0" borderId="0" xfId="4" applyFont="1" applyAlignment="1">
      <alignment vertical="center" wrapText="1"/>
    </xf>
    <xf numFmtId="0" fontId="4" fillId="2" borderId="3" xfId="1" applyNumberFormat="1" applyFont="1" applyFill="1" applyBorder="1"/>
    <xf numFmtId="0" fontId="8" fillId="0" borderId="0" xfId="4" applyNumberFormat="1" applyFont="1">
      <alignment vertical="center"/>
    </xf>
    <xf numFmtId="0" fontId="2" fillId="0" borderId="0" xfId="5" applyNumberFormat="1"/>
    <xf numFmtId="0" fontId="8" fillId="0" borderId="0" xfId="5" applyNumberFormat="1" applyFont="1" applyFill="1" applyBorder="1" applyAlignment="1">
      <alignment vertical="top"/>
    </xf>
    <xf numFmtId="49" fontId="8" fillId="0" borderId="0" xfId="5" applyNumberFormat="1" applyFont="1" applyFill="1" applyBorder="1" applyAlignment="1">
      <alignment vertical="top"/>
    </xf>
    <xf numFmtId="0" fontId="8" fillId="0" borderId="0" xfId="5" applyNumberFormat="1" applyFont="1" applyAlignment="1">
      <alignment vertical="top"/>
    </xf>
    <xf numFmtId="49" fontId="8" fillId="0" borderId="0" xfId="5" applyNumberFormat="1" applyFont="1" applyAlignment="1">
      <alignment vertical="top"/>
    </xf>
    <xf numFmtId="0" fontId="2" fillId="0" borderId="0" xfId="6"/>
    <xf numFmtId="0" fontId="9" fillId="0" borderId="0" xfId="6" applyFont="1" applyFill="1" applyAlignment="1">
      <alignment vertical="top"/>
    </xf>
    <xf numFmtId="0" fontId="9" fillId="0" borderId="0" xfId="6" applyFont="1" applyFill="1" applyAlignment="1">
      <alignment horizontal="left" vertical="top"/>
    </xf>
    <xf numFmtId="0" fontId="8" fillId="0" borderId="0" xfId="6" applyFont="1" applyAlignment="1">
      <alignment vertical="top"/>
    </xf>
    <xf numFmtId="0" fontId="10" fillId="0" borderId="10" xfId="1" applyNumberFormat="1" applyFont="1" applyBorder="1"/>
    <xf numFmtId="0" fontId="8" fillId="0" borderId="10" xfId="1" applyNumberFormat="1" applyFont="1" applyBorder="1"/>
    <xf numFmtId="0" fontId="8" fillId="0" borderId="0" xfId="1" applyNumberFormat="1" applyFont="1"/>
    <xf numFmtId="0" fontId="3" fillId="2" borderId="2" xfId="1" applyNumberFormat="1" applyFont="1" applyFill="1" applyBorder="1"/>
    <xf numFmtId="0" fontId="9" fillId="3" borderId="11" xfId="3" applyNumberFormat="1" applyFont="1" applyFill="1" applyBorder="1"/>
    <xf numFmtId="0" fontId="8" fillId="0" borderId="0" xfId="7" applyNumberFormat="1" applyFont="1" applyFill="1"/>
    <xf numFmtId="0" fontId="8" fillId="0" borderId="0" xfId="7" quotePrefix="1" applyNumberFormat="1" applyFont="1" applyFill="1"/>
    <xf numFmtId="0" fontId="8" fillId="0" borderId="0" xfId="7" applyNumberFormat="1" applyFont="1" applyFill="1" applyBorder="1" applyAlignment="1">
      <alignment wrapText="1"/>
    </xf>
    <xf numFmtId="0" fontId="11" fillId="0" borderId="0" xfId="1" applyNumberFormat="1" applyFont="1" applyFill="1"/>
    <xf numFmtId="0" fontId="8" fillId="0" borderId="0" xfId="8" applyNumberFormat="1" applyFont="1"/>
    <xf numFmtId="0" fontId="8" fillId="0" borderId="0" xfId="1" applyNumberFormat="1" applyFont="1" applyFill="1"/>
    <xf numFmtId="0" fontId="8" fillId="0" borderId="0" xfId="7" applyNumberFormat="1" applyFont="1"/>
    <xf numFmtId="0" fontId="8" fillId="0" borderId="0" xfId="1" applyNumberFormat="1" applyFont="1" applyAlignment="1">
      <alignment vertical="top"/>
    </xf>
    <xf numFmtId="0" fontId="11" fillId="0" borderId="0" xfId="1" applyNumberFormat="1" applyFont="1" applyFill="1" applyAlignment="1">
      <alignment vertical="top" wrapText="1"/>
    </xf>
    <xf numFmtId="0" fontId="11" fillId="0" borderId="0" xfId="1" applyNumberFormat="1" applyFont="1" applyFill="1" applyAlignment="1">
      <alignment wrapText="1"/>
    </xf>
    <xf numFmtId="0" fontId="8" fillId="0" borderId="0" xfId="9" applyNumberFormat="1" applyFont="1"/>
    <xf numFmtId="0" fontId="8" fillId="0" borderId="0" xfId="7" applyNumberFormat="1" applyFont="1" applyAlignment="1">
      <alignment wrapText="1"/>
    </xf>
    <xf numFmtId="0" fontId="11" fillId="0" borderId="0" xfId="7" applyNumberFormat="1" applyFont="1" applyFill="1"/>
    <xf numFmtId="0" fontId="8" fillId="0" borderId="0" xfId="7" applyNumberFormat="1" applyFont="1" applyFill="1" applyBorder="1"/>
    <xf numFmtId="0" fontId="12" fillId="0" borderId="0" xfId="7" applyNumberFormat="1" applyFont="1"/>
    <xf numFmtId="0" fontId="8" fillId="5" borderId="7" xfId="8" applyNumberFormat="1" applyFont="1" applyFill="1" applyBorder="1" applyAlignment="1"/>
    <xf numFmtId="0" fontId="10" fillId="0" borderId="10" xfId="9" applyNumberFormat="1" applyFont="1" applyBorder="1"/>
    <xf numFmtId="0" fontId="8" fillId="0" borderId="10" xfId="9" applyNumberFormat="1" applyFont="1" applyBorder="1"/>
    <xf numFmtId="0" fontId="2" fillId="0" borderId="0" xfId="8"/>
    <xf numFmtId="0" fontId="12" fillId="0" borderId="0" xfId="8" applyNumberFormat="1" applyFont="1"/>
    <xf numFmtId="0" fontId="2" fillId="0" borderId="0" xfId="8" applyNumberFormat="1"/>
    <xf numFmtId="0" fontId="9" fillId="7" borderId="0" xfId="8" applyNumberFormat="1" applyFont="1" applyFill="1" applyBorder="1" applyAlignment="1"/>
    <xf numFmtId="0" fontId="8" fillId="0" borderId="12" xfId="10" applyNumberFormat="1" applyFont="1" applyFill="1" applyBorder="1" applyAlignment="1">
      <alignment vertical="top"/>
    </xf>
    <xf numFmtId="0" fontId="1" fillId="0" borderId="0" xfId="10" applyAlignment="1">
      <alignment vertical="top"/>
    </xf>
    <xf numFmtId="0" fontId="8" fillId="0" borderId="12" xfId="11" applyNumberFormat="1" applyFont="1" applyFill="1" applyBorder="1" applyAlignment="1">
      <alignment vertical="top"/>
    </xf>
    <xf numFmtId="0" fontId="8" fillId="0" borderId="0" xfId="10" applyNumberFormat="1" applyFont="1" applyFill="1" applyAlignment="1">
      <alignment vertical="top"/>
    </xf>
    <xf numFmtId="0" fontId="8" fillId="0" borderId="0" xfId="11" applyNumberFormat="1" applyFont="1" applyFill="1" applyAlignment="1">
      <alignment vertical="top"/>
    </xf>
    <xf numFmtId="0" fontId="6" fillId="7" borderId="8" xfId="8" applyNumberFormat="1" applyFont="1" applyFill="1" applyBorder="1" applyAlignment="1"/>
    <xf numFmtId="0" fontId="13" fillId="0" borderId="0" xfId="8" applyFont="1"/>
    <xf numFmtId="0" fontId="6" fillId="8" borderId="7" xfId="3" applyNumberFormat="1" applyFont="1" applyFill="1" applyBorder="1" applyAlignment="1"/>
    <xf numFmtId="0" fontId="6" fillId="8" borderId="8" xfId="3" applyNumberFormat="1" applyFont="1" applyFill="1" applyBorder="1" applyAlignment="1"/>
    <xf numFmtId="0" fontId="6" fillId="9" borderId="8" xfId="8" applyNumberFormat="1" applyFont="1" applyFill="1" applyBorder="1" applyAlignment="1"/>
    <xf numFmtId="0" fontId="6" fillId="10" borderId="8" xfId="8" applyNumberFormat="1" applyFont="1" applyFill="1" applyBorder="1" applyAlignment="1"/>
    <xf numFmtId="0" fontId="6" fillId="11" borderId="8" xfId="8" applyNumberFormat="1" applyFont="1" applyFill="1" applyBorder="1" applyAlignment="1"/>
    <xf numFmtId="0" fontId="6" fillId="11" borderId="9" xfId="8" applyNumberFormat="1" applyFont="1" applyFill="1" applyBorder="1" applyAlignment="1"/>
    <xf numFmtId="0" fontId="8" fillId="5" borderId="8" xfId="8" applyNumberFormat="1" applyFont="1" applyFill="1" applyBorder="1" applyAlignment="1"/>
    <xf numFmtId="0" fontId="8" fillId="5" borderId="13" xfId="8" applyNumberFormat="1" applyFont="1" applyFill="1" applyBorder="1" applyAlignment="1"/>
    <xf numFmtId="0" fontId="8" fillId="5" borderId="14" xfId="8" applyNumberFormat="1" applyFont="1" applyFill="1" applyBorder="1" applyAlignment="1"/>
    <xf numFmtId="0" fontId="9" fillId="8" borderId="0" xfId="3" applyNumberFormat="1" applyFont="1" applyFill="1" applyBorder="1"/>
    <xf numFmtId="0" fontId="9" fillId="7" borderId="15" xfId="8" applyNumberFormat="1" applyFont="1" applyFill="1" applyBorder="1" applyAlignment="1"/>
    <xf numFmtId="0" fontId="9" fillId="9" borderId="15" xfId="8" applyNumberFormat="1" applyFont="1" applyFill="1" applyBorder="1" applyAlignment="1"/>
    <xf numFmtId="0" fontId="9" fillId="9" borderId="0" xfId="8" applyNumberFormat="1" applyFont="1" applyFill="1" applyBorder="1" applyAlignment="1"/>
    <xf numFmtId="0" fontId="6" fillId="10" borderId="15" xfId="8" applyNumberFormat="1" applyFont="1" applyFill="1" applyBorder="1" applyAlignment="1"/>
    <xf numFmtId="0" fontId="9" fillId="10" borderId="0" xfId="8" applyNumberFormat="1" applyFont="1" applyFill="1" applyBorder="1" applyAlignment="1"/>
    <xf numFmtId="0" fontId="6" fillId="10" borderId="0" xfId="8" applyNumberFormat="1" applyFont="1" applyFill="1" applyBorder="1" applyAlignment="1"/>
    <xf numFmtId="0" fontId="9" fillId="11" borderId="15" xfId="8" applyNumberFormat="1" applyFont="1" applyFill="1" applyBorder="1" applyAlignment="1"/>
    <xf numFmtId="0" fontId="9" fillId="11" borderId="0" xfId="8" applyNumberFormat="1" applyFont="1" applyFill="1" applyBorder="1" applyAlignment="1"/>
    <xf numFmtId="0" fontId="2" fillId="0" borderId="0" xfId="8" applyAlignment="1"/>
    <xf numFmtId="0" fontId="8" fillId="0" borderId="0" xfId="8" applyNumberFormat="1" applyFont="1" applyBorder="1"/>
    <xf numFmtId="0" fontId="8" fillId="0" borderId="15" xfId="8" applyNumberFormat="1" applyFont="1" applyBorder="1"/>
    <xf numFmtId="0" fontId="6" fillId="6" borderId="0" xfId="3" applyNumberFormat="1" applyFont="1" applyFill="1" applyBorder="1" applyAlignment="1">
      <alignment wrapText="1"/>
    </xf>
    <xf numFmtId="0" fontId="8" fillId="0" borderId="0" xfId="1" applyNumberFormat="1" applyFont="1" applyFill="1" applyAlignment="1">
      <alignment wrapText="1"/>
    </xf>
    <xf numFmtId="0" fontId="2" fillId="0" borderId="0" xfId="11">
      <alignment vertical="center"/>
    </xf>
    <xf numFmtId="49" fontId="3" fillId="2" borderId="6" xfId="1" applyNumberFormat="1" applyFont="1" applyFill="1" applyBorder="1"/>
    <xf numFmtId="49" fontId="3" fillId="2" borderId="2" xfId="1" applyNumberFormat="1" applyFont="1" applyFill="1" applyBorder="1"/>
    <xf numFmtId="49" fontId="8" fillId="0" borderId="0" xfId="7" applyNumberFormat="1" applyFont="1"/>
    <xf numFmtId="0" fontId="8" fillId="0" borderId="0" xfId="11" applyNumberFormat="1" applyFont="1" applyBorder="1" applyAlignment="1"/>
    <xf numFmtId="0" fontId="2" fillId="0" borderId="0" xfId="11" applyNumberFormat="1" applyFont="1" applyBorder="1" applyAlignment="1">
      <alignment wrapText="1"/>
    </xf>
    <xf numFmtId="0" fontId="8" fillId="0" borderId="0" xfId="11" applyNumberFormat="1" applyFont="1" applyBorder="1" applyAlignment="1">
      <alignment wrapText="1"/>
    </xf>
    <xf numFmtId="49" fontId="3" fillId="2" borderId="5" xfId="1" applyNumberFormat="1" applyFont="1" applyFill="1" applyBorder="1"/>
    <xf numFmtId="0" fontId="2" fillId="0" borderId="0" xfId="11" applyNumberFormat="1" applyFont="1" applyBorder="1" applyAlignment="1"/>
    <xf numFmtId="0" fontId="8" fillId="0" borderId="0" xfId="11" applyFont="1" applyAlignment="1">
      <alignment wrapText="1"/>
    </xf>
    <xf numFmtId="0" fontId="18" fillId="0" borderId="0" xfId="11" applyFont="1" applyAlignment="1">
      <alignment horizontal="left" vertical="top" wrapText="1"/>
    </xf>
    <xf numFmtId="0" fontId="8" fillId="0" borderId="0" xfId="10" applyFont="1"/>
    <xf numFmtId="0" fontId="8" fillId="0" borderId="0" xfId="14" applyFont="1" applyAlignment="1">
      <alignment vertical="top"/>
    </xf>
    <xf numFmtId="0" fontId="8" fillId="0" borderId="0" xfId="14" applyFont="1"/>
    <xf numFmtId="0" fontId="8" fillId="5" borderId="18" xfId="15" applyFont="1" applyFill="1" applyBorder="1" applyAlignment="1">
      <alignment vertical="top" wrapText="1"/>
    </xf>
    <xf numFmtId="0" fontId="8" fillId="5" borderId="19" xfId="15" applyFont="1" applyFill="1" applyBorder="1" applyAlignment="1">
      <alignment vertical="top" wrapText="1"/>
    </xf>
    <xf numFmtId="0" fontId="8" fillId="5" borderId="20" xfId="15" applyFont="1" applyFill="1" applyBorder="1" applyAlignment="1">
      <alignment vertical="top" wrapText="1"/>
    </xf>
    <xf numFmtId="0" fontId="8" fillId="0" borderId="0" xfId="14" applyFont="1" applyBorder="1" applyAlignment="1">
      <alignment vertical="top"/>
    </xf>
    <xf numFmtId="49" fontId="3" fillId="2" borderId="1" xfId="1" applyNumberFormat="1" applyFont="1" applyFill="1" applyBorder="1"/>
    <xf numFmtId="0" fontId="8" fillId="0" borderId="21" xfId="14" applyNumberFormat="1" applyFont="1" applyBorder="1" applyAlignment="1">
      <alignment vertical="top"/>
    </xf>
    <xf numFmtId="0" fontId="8" fillId="0" borderId="22" xfId="11" applyNumberFormat="1" applyFont="1" applyBorder="1" applyAlignment="1">
      <alignment vertical="top" wrapText="1"/>
    </xf>
    <xf numFmtId="0" fontId="8" fillId="0" borderId="23" xfId="14" applyNumberFormat="1" applyFont="1" applyBorder="1" applyAlignment="1">
      <alignment vertical="top"/>
    </xf>
    <xf numFmtId="0" fontId="8" fillId="0" borderId="0" xfId="11" applyFont="1" applyAlignment="1"/>
    <xf numFmtId="0" fontId="8" fillId="0" borderId="0" xfId="14" applyFont="1" applyFill="1" applyAlignment="1">
      <alignment vertical="top"/>
    </xf>
    <xf numFmtId="0" fontId="9" fillId="5" borderId="24" xfId="17" applyFont="1" applyFill="1" applyBorder="1" applyAlignment="1">
      <alignment vertical="top"/>
    </xf>
    <xf numFmtId="0" fontId="9" fillId="5" borderId="25" xfId="17" applyFont="1" applyFill="1" applyBorder="1" applyAlignment="1">
      <alignment vertical="top"/>
    </xf>
    <xf numFmtId="0" fontId="2" fillId="0" borderId="0" xfId="11" applyAlignment="1"/>
    <xf numFmtId="0" fontId="8" fillId="0" borderId="0" xfId="14" quotePrefix="1" applyFont="1" applyBorder="1" applyAlignment="1">
      <alignment vertical="top"/>
    </xf>
    <xf numFmtId="49" fontId="3" fillId="2" borderId="26" xfId="1" applyNumberFormat="1" applyFont="1" applyFill="1" applyBorder="1"/>
    <xf numFmtId="49" fontId="3" fillId="2" borderId="0" xfId="1" applyNumberFormat="1" applyFont="1" applyFill="1" applyBorder="1"/>
    <xf numFmtId="0" fontId="8" fillId="0" borderId="0" xfId="11" applyNumberFormat="1" applyFont="1" applyFill="1" applyBorder="1" applyAlignment="1">
      <alignment vertical="top" wrapText="1"/>
    </xf>
    <xf numFmtId="0" fontId="8" fillId="0" borderId="0" xfId="14" quotePrefix="1" applyFont="1" applyAlignment="1">
      <alignment vertical="top"/>
    </xf>
    <xf numFmtId="0" fontId="0" fillId="0" borderId="0" xfId="7" applyNumberFormat="1" applyFont="1"/>
    <xf numFmtId="0" fontId="0" fillId="0" borderId="0" xfId="7" applyNumberFormat="1" applyFont="1" applyFill="1"/>
    <xf numFmtId="0" fontId="6" fillId="4" borderId="0" xfId="3" applyNumberFormat="1" applyFont="1" applyFill="1" applyBorder="1" applyAlignment="1"/>
    <xf numFmtId="0" fontId="6" fillId="4" borderId="7" xfId="3" applyNumberFormat="1" applyFont="1" applyFill="1" applyBorder="1" applyAlignment="1"/>
    <xf numFmtId="0" fontId="6" fillId="4" borderId="27" xfId="3" applyNumberFormat="1" applyFont="1" applyFill="1" applyBorder="1" applyAlignment="1"/>
    <xf numFmtId="0" fontId="6" fillId="4" borderId="28" xfId="3" applyNumberFormat="1" applyFont="1" applyFill="1" applyBorder="1" applyAlignment="1"/>
    <xf numFmtId="0" fontId="22" fillId="13" borderId="17" xfId="19" applyFont="1" applyAlignment="1">
      <alignment horizontal="left" vertical="center"/>
    </xf>
    <xf numFmtId="0" fontId="13" fillId="13" borderId="16" xfId="18" applyFont="1" applyAlignment="1">
      <alignment vertical="top"/>
    </xf>
    <xf numFmtId="0" fontId="8" fillId="0" borderId="0" xfId="8" applyNumberFormat="1" applyFont="1" applyFill="1"/>
    <xf numFmtId="0" fontId="8" fillId="0" borderId="15" xfId="8" applyNumberFormat="1" applyFont="1" applyFill="1" applyBorder="1"/>
    <xf numFmtId="0" fontId="24" fillId="0" borderId="0" xfId="5" applyFont="1"/>
    <xf numFmtId="0" fontId="8" fillId="0" borderId="0" xfId="5" applyFont="1"/>
    <xf numFmtId="0" fontId="1" fillId="0" borderId="0" xfId="5" applyFont="1"/>
    <xf numFmtId="0" fontId="25" fillId="0" borderId="0" xfId="5" applyFont="1"/>
    <xf numFmtId="0" fontId="26" fillId="0" borderId="0" xfId="5" applyFont="1"/>
    <xf numFmtId="0" fontId="12" fillId="0" borderId="0" xfId="5" applyFont="1"/>
    <xf numFmtId="0" fontId="8" fillId="0" borderId="0" xfId="2" applyFont="1"/>
    <xf numFmtId="0" fontId="8" fillId="0" borderId="0" xfId="5" quotePrefix="1" applyFont="1"/>
    <xf numFmtId="0" fontId="27" fillId="0" borderId="0" xfId="5" applyFont="1"/>
    <xf numFmtId="0" fontId="8" fillId="0" borderId="0" xfId="1" applyNumberFormat="1" applyFont="1" applyAlignment="1">
      <alignment horizontal="left"/>
    </xf>
    <xf numFmtId="0" fontId="14" fillId="0" borderId="0" xfId="14" applyFont="1" applyFill="1" applyAlignment="1">
      <alignment vertical="top"/>
    </xf>
    <xf numFmtId="0" fontId="14" fillId="0" borderId="0" xfId="11" applyNumberFormat="1" applyFont="1" applyFill="1" applyAlignment="1">
      <alignment vertical="top" wrapText="1"/>
    </xf>
    <xf numFmtId="0" fontId="14" fillId="0" borderId="0" xfId="14" quotePrefix="1" applyNumberFormat="1" applyFont="1" applyFill="1" applyAlignment="1">
      <alignment vertical="top"/>
    </xf>
    <xf numFmtId="0" fontId="14" fillId="0" borderId="0" xfId="11" applyNumberFormat="1" applyFont="1" applyFill="1" applyAlignment="1">
      <alignment vertical="top"/>
    </xf>
    <xf numFmtId="0" fontId="14" fillId="0" borderId="0" xfId="7" applyNumberFormat="1" applyFont="1" applyFill="1"/>
    <xf numFmtId="0" fontId="28" fillId="0" borderId="0" xfId="7" applyNumberFormat="1" applyFont="1" applyFill="1"/>
    <xf numFmtId="49" fontId="3" fillId="2" borderId="5" xfId="1" applyNumberFormat="1" applyFont="1" applyFill="1" applyBorder="1" applyAlignment="1">
      <alignment horizontal="left"/>
    </xf>
    <xf numFmtId="49" fontId="3" fillId="2" borderId="6" xfId="1" applyNumberFormat="1" applyFont="1" applyFill="1" applyBorder="1" applyAlignment="1">
      <alignment horizontal="left"/>
    </xf>
    <xf numFmtId="0" fontId="18" fillId="0" borderId="0" xfId="11" applyFont="1" applyAlignment="1">
      <alignment horizontal="left" vertical="top" wrapText="1"/>
    </xf>
  </cellXfs>
  <cellStyles count="20">
    <cellStyle name="Accent5 2" xfId="15"/>
    <cellStyle name="Accent5 3" xfId="16"/>
    <cellStyle name="Bad 2" xfId="17"/>
    <cellStyle name="Calculation 2" xfId="18"/>
    <cellStyle name="HeadSty" xfId="13"/>
    <cellStyle name="Normal" xfId="0" builtinId="0"/>
    <cellStyle name="Normal 10 13" xfId="5"/>
    <cellStyle name="Normal 10 13 2 2" xfId="8"/>
    <cellStyle name="Normal 2" xfId="2"/>
    <cellStyle name="Normal 2 2" xfId="4"/>
    <cellStyle name="Normal 23" xfId="7"/>
    <cellStyle name="Normal 24 2 2 3 2" xfId="9"/>
    <cellStyle name="Normal 24 2 2 5" xfId="1"/>
    <cellStyle name="Normal 24 2 2 5 2" xfId="3"/>
    <cellStyle name="Normal 26" xfId="11"/>
    <cellStyle name="Normal 26 3" xfId="10"/>
    <cellStyle name="Normal 26 6" xfId="14"/>
    <cellStyle name="Normal 27" xfId="6"/>
    <cellStyle name="Output 2" xfId="19"/>
    <cellStyle name="Title 2" xfId="12"/>
  </cellStyles>
  <dxfs count="263">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border diagonalUp="0" diagonalDown="0" outline="0">
        <left style="thin">
          <color auto="1"/>
        </left>
        <right/>
        <top/>
        <bottom/>
      </border>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border diagonalUp="0" diagonalDown="0" outline="0">
        <left style="thin">
          <color auto="1"/>
        </left>
        <right/>
        <top/>
        <bottom/>
      </border>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border diagonalUp="0" diagonalDown="0" outline="0">
        <left style="thin">
          <color auto="1"/>
        </left>
        <right/>
        <top/>
        <bottom/>
      </border>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border diagonalUp="0" diagonalDown="0" outline="0">
        <left style="thin">
          <color auto="1"/>
        </left>
        <right/>
        <top/>
        <bottom/>
      </border>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sz val="11"/>
        <color auto="1"/>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0" indent="0" justifyLastLine="0" shrinkToFit="0" readingOrder="0"/>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dxf>
    <dxf>
      <font>
        <b val="0"/>
        <i val="0"/>
        <strike val="0"/>
        <condense val="0"/>
        <extend val="0"/>
        <outline val="0"/>
        <shadow val="0"/>
        <u val="none"/>
        <vertAlign val="baseline"/>
        <sz val="11"/>
        <color rgb="FF000000"/>
        <name val="Calibri"/>
        <scheme val="none"/>
      </font>
      <numFmt numFmtId="0" formatCode="General"/>
      <fill>
        <patternFill patternType="none">
          <fgColor rgb="FF000000"/>
          <bgColor rgb="FFFFFFFF"/>
        </patternFill>
      </fil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b val="0"/>
        <i val="0"/>
        <strike val="0"/>
        <condense val="0"/>
        <extend val="0"/>
        <outline val="0"/>
        <shadow val="0"/>
        <u val="none"/>
        <vertAlign val="baseline"/>
        <sz val="11"/>
        <color rgb="FF000000"/>
        <name val="Calibri"/>
        <scheme val="none"/>
      </font>
      <numFmt numFmtId="0" formatCode="General"/>
      <fill>
        <patternFill patternType="none">
          <fgColor indexed="64"/>
          <bgColor indexed="65"/>
        </patternFill>
      </fill>
    </dxf>
    <dxf>
      <font>
        <b val="0"/>
        <i val="0"/>
        <strike val="0"/>
        <condense val="0"/>
        <extend val="0"/>
        <outline val="0"/>
        <shadow val="0"/>
        <u val="none"/>
        <vertAlign val="baseline"/>
        <sz val="11"/>
        <color rgb="FF000000"/>
        <name val="Calibri"/>
        <scheme val="none"/>
      </font>
      <numFmt numFmtId="0" formatCode="General"/>
    </dxf>
    <dxf>
      <font>
        <b val="0"/>
        <i val="0"/>
        <strike val="0"/>
        <condense val="0"/>
        <extend val="0"/>
        <outline val="0"/>
        <shadow val="0"/>
        <u val="none"/>
        <vertAlign val="baseline"/>
        <sz val="11"/>
        <color rgb="FF000000"/>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border outline="0">
        <top style="thin">
          <color rgb="FF95B3D7"/>
        </top>
      </border>
    </dxf>
    <dxf>
      <font>
        <b val="0"/>
        <i val="0"/>
        <strike val="0"/>
        <condense val="0"/>
        <extend val="0"/>
        <outline val="0"/>
        <shadow val="0"/>
        <u val="none"/>
        <vertAlign val="baseline"/>
        <sz val="11"/>
        <color rgb="FF000000"/>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b val="0"/>
        <i val="0"/>
        <strike val="0"/>
        <condense val="0"/>
        <extend val="0"/>
        <outline val="0"/>
        <shadow val="0"/>
        <u val="none"/>
        <vertAlign val="baseline"/>
        <sz val="11"/>
        <color rgb="FF000000"/>
        <name val="Calibri"/>
        <scheme val="none"/>
      </font>
      <numFmt numFmtId="0" formatCode="General"/>
    </dxf>
    <dxf>
      <font>
        <b val="0"/>
        <i val="0"/>
        <strike val="0"/>
        <condense val="0"/>
        <extend val="0"/>
        <outline val="0"/>
        <shadow val="0"/>
        <u val="none"/>
        <vertAlign val="baseline"/>
        <sz val="11"/>
        <color rgb="FF000000"/>
        <name val="Calibri"/>
        <scheme val="none"/>
      </font>
      <numFmt numFmtId="0" formatCode="General"/>
    </dxf>
    <dxf>
      <font>
        <b val="0"/>
        <i val="0"/>
        <strike val="0"/>
        <condense val="0"/>
        <extend val="0"/>
        <outline val="0"/>
        <shadow val="0"/>
        <u val="none"/>
        <vertAlign val="baseline"/>
        <sz val="11"/>
        <color rgb="FF000000"/>
        <name val="Calibri"/>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dxf>
    <dxf>
      <font>
        <b val="0"/>
        <i val="0"/>
        <strike val="0"/>
        <condense val="0"/>
        <extend val="0"/>
        <outline val="0"/>
        <shadow val="0"/>
        <u val="none"/>
        <vertAlign val="baseline"/>
        <sz val="11"/>
        <color rgb="FF000000"/>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strike val="0"/>
        <outline val="0"/>
        <shadow val="0"/>
        <u val="none"/>
        <vertAlign val="baseline"/>
        <sz val="11"/>
        <color theme="1"/>
        <name val="Calibri"/>
        <scheme val="none"/>
      </font>
      <numFmt numFmtId="0" formatCode="General"/>
      <alignment horizontal="general" vertical="bottom" textRotation="0" wrapText="1" indent="0" justifyLastLine="0" shrinkToFit="0" readingOrder="0"/>
    </dxf>
    <dxf>
      <font>
        <strike val="0"/>
        <outline val="0"/>
        <shadow val="0"/>
        <u val="none"/>
        <vertAlign val="baseline"/>
        <sz val="11"/>
        <color theme="1"/>
        <name val="Calibri"/>
        <scheme val="none"/>
      </font>
      <numFmt numFmtId="0" formatCode="General"/>
    </dxf>
    <dxf>
      <font>
        <strike val="0"/>
        <outline val="0"/>
        <shadow val="0"/>
        <u val="none"/>
        <vertAlign val="baseline"/>
        <sz val="11"/>
        <color theme="1"/>
        <name val="Calibri"/>
        <scheme val="none"/>
      </font>
      <numFmt numFmtId="0" formatCode="General"/>
    </dxf>
    <dxf>
      <font>
        <strike val="0"/>
        <outline val="0"/>
        <shadow val="0"/>
        <u val="none"/>
        <vertAlign val="baseline"/>
        <sz val="11"/>
        <color rgb="FF000000"/>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strike val="0"/>
        <outline val="0"/>
        <shadow val="0"/>
        <u val="none"/>
        <vertAlign val="baseline"/>
        <sz val="11"/>
        <color theme="1"/>
        <name val="Calibri"/>
        <scheme val="none"/>
      </font>
      <numFmt numFmtId="0" formatCode="General"/>
    </dxf>
    <dxf>
      <font>
        <strike val="0"/>
        <outline val="0"/>
        <shadow val="0"/>
        <u val="none"/>
        <vertAlign val="baseline"/>
        <sz val="11"/>
        <color rgb="FF000000"/>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b val="0"/>
        <i val="0"/>
        <strike val="0"/>
        <condense val="0"/>
        <extend val="0"/>
        <outline val="0"/>
        <shadow val="0"/>
        <u val="none"/>
        <vertAlign val="baseline"/>
        <sz val="11"/>
        <color rgb="FF000000"/>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rgb="FF000000"/>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b val="0"/>
        <i val="0"/>
        <strike val="0"/>
        <condense val="0"/>
        <extend val="0"/>
        <outline val="0"/>
        <shadow val="0"/>
        <u val="none"/>
        <vertAlign val="baseline"/>
        <sz val="11"/>
        <color rgb="FF000000"/>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rgb="FF000000"/>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b val="0"/>
        <i val="0"/>
        <strike val="0"/>
        <condense val="0"/>
        <extend val="0"/>
        <outline val="0"/>
        <shadow val="0"/>
        <u val="none"/>
        <vertAlign val="baseline"/>
        <sz val="11"/>
        <color rgb="FF000000"/>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rgb="FF000000"/>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b val="0"/>
        <i val="0"/>
        <strike val="0"/>
        <condense val="0"/>
        <extend val="0"/>
        <outline val="0"/>
        <shadow val="0"/>
        <u val="none"/>
        <vertAlign val="baseline"/>
        <sz val="11"/>
        <color rgb="FF000000"/>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rgb="FF000000"/>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rgb="FF000000"/>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b val="0"/>
        <i val="0"/>
        <strike val="0"/>
        <condense val="0"/>
        <extend val="0"/>
        <outline val="0"/>
        <shadow val="0"/>
        <u val="none"/>
        <vertAlign val="baseline"/>
        <sz val="11"/>
        <color rgb="FF000000"/>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rgb="FF000000"/>
        <name val="Calibri"/>
        <scheme val="none"/>
      </font>
      <numFmt numFmtId="0" formatCode="General"/>
    </dxf>
    <dxf>
      <font>
        <b val="0"/>
        <i val="0"/>
        <strike val="0"/>
        <condense val="0"/>
        <extend val="0"/>
        <outline val="0"/>
        <shadow val="0"/>
        <u val="none"/>
        <vertAlign val="baseline"/>
        <sz val="11"/>
        <color rgb="FF000000"/>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b val="0"/>
        <i val="0"/>
        <strike val="0"/>
        <condense val="0"/>
        <extend val="0"/>
        <outline val="0"/>
        <shadow val="0"/>
        <u val="none"/>
        <vertAlign val="baseline"/>
        <sz val="11"/>
        <color rgb="FF000000"/>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rgb="FF000000"/>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auto="1"/>
        <name val="Calibri"/>
        <scheme val="none"/>
      </font>
      <numFmt numFmtId="0" formatCode="General"/>
      <fill>
        <patternFill patternType="solid">
          <fgColor theme="4"/>
          <bgColor theme="3" tint="0.80001220740379042"/>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auto="1"/>
        <name val="Calibri"/>
        <scheme val="none"/>
      </font>
      <numFmt numFmtId="0" formatCode="General"/>
      <fill>
        <patternFill patternType="solid">
          <fgColor theme="4"/>
          <bgColor theme="3" tint="0.80001220740379042"/>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auto="1"/>
        <name val="Calibri"/>
        <scheme val="none"/>
      </font>
      <numFmt numFmtId="0" formatCode="General"/>
      <fill>
        <patternFill patternType="solid">
          <fgColor theme="4"/>
          <bgColor theme="3" tint="0.80001220740379042"/>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auto="1"/>
        <name val="Calibri"/>
        <scheme val="none"/>
      </font>
      <numFmt numFmtId="0" formatCode="General"/>
      <fill>
        <patternFill patternType="solid">
          <fgColor theme="4"/>
          <bgColor theme="3" tint="0.80001220740379042"/>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auto="1"/>
        <name val="Calibri"/>
        <scheme val="none"/>
      </font>
      <numFmt numFmtId="0" formatCode="General"/>
      <fill>
        <patternFill patternType="solid">
          <fgColor theme="4"/>
          <bgColor theme="3" tint="0.80001220740379042"/>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general" vertical="top"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none"/>
      </font>
      <alignment horizontal="general" vertical="top" textRotation="0" wrapText="0" indent="0" justifyLastLine="0" shrinkToFit="0" readingOrder="0"/>
    </dxf>
    <dxf>
      <font>
        <b/>
        <i val="0"/>
        <strike val="0"/>
        <condense val="0"/>
        <extend val="0"/>
        <outline val="0"/>
        <shadow val="0"/>
        <u val="none"/>
        <vertAlign val="baseline"/>
        <sz val="11"/>
        <color auto="1"/>
        <name val="Calibri"/>
        <scheme val="none"/>
      </font>
      <numFmt numFmtId="0" formatCode="General"/>
      <fill>
        <patternFill patternType="solid">
          <fgColor theme="4"/>
          <bgColor theme="3" tint="0.80001220740379042"/>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none"/>
      </font>
      <alignment horizontal="general" vertical="top" textRotation="0" wrapText="0" indent="0" justifyLastLine="0" shrinkToFit="0" readingOrder="0"/>
    </dxf>
    <dxf>
      <border outline="0">
        <top style="thin">
          <color theme="4" tint="-0.499984740745262"/>
        </top>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top" textRotation="0" wrapText="1" indent="0" justifyLastLine="0" shrinkToFit="0" readingOrder="0"/>
    </dxf>
    <dxf>
      <border outline="0">
        <bottom style="medium">
          <color theme="3" tint="0.59996337778862885"/>
        </bottom>
      </border>
    </dxf>
    <dxf>
      <font>
        <b/>
        <i val="0"/>
        <strike val="0"/>
        <condense val="0"/>
        <extend val="0"/>
        <outline val="0"/>
        <shadow val="0"/>
        <u val="none"/>
        <vertAlign val="baseline"/>
        <sz val="11"/>
        <color auto="1"/>
        <name val="Calibri"/>
        <scheme val="none"/>
      </font>
      <numFmt numFmtId="0" formatCode="General"/>
      <fill>
        <patternFill patternType="solid">
          <fgColor theme="4"/>
          <bgColor theme="3" tint="0.80001220740379042"/>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top"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none"/>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auto="1"/>
        <name val="Calibri"/>
        <scheme val="none"/>
      </font>
      <numFmt numFmtId="0" formatCode="General"/>
      <fill>
        <patternFill patternType="solid">
          <fgColor theme="4"/>
          <bgColor theme="3" tint="0.80001220740379042"/>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ables/table1.xml><?xml version="1.0" encoding="utf-8"?>
<table xmlns="http://schemas.openxmlformats.org/spreadsheetml/2006/main" id="24" name="CRUD_Sorting_tbl" displayName="CRUD_Sorting_tbl" ref="A32:C35" totalsRowShown="0" headerRowDxfId="262" dataDxfId="260" headerRowBorderDxfId="261" tableBorderDxfId="259" headerRowCellStyle="Normal 24 2 2 5 2" dataCellStyle="Normal 26 6">
  <autoFilter ref="A32:C35"/>
  <tableColumns count="3">
    <tableColumn id="1" name="Data Name" dataDxfId="258" dataCellStyle="Normal 26 6"/>
    <tableColumn id="2" name="Sorting Order" dataDxfId="257" dataCellStyle="Normal 26 6"/>
    <tableColumn id="3" name="Sorting Direction" dataDxfId="256" dataCellStyle="Normal 26 6"/>
  </tableColumns>
  <tableStyleInfo name="TableStyleMedium2" showFirstColumn="0" showLastColumn="0" showRowStripes="1" showColumnStripes="0"/>
</table>
</file>

<file path=xl/tables/table2.xml><?xml version="1.0" encoding="utf-8"?>
<table xmlns="http://schemas.openxmlformats.org/spreadsheetml/2006/main" id="25" name="CRUD_Result_tbl" displayName="CRUD_Result_tbl" ref="A56:H62" totalsRowShown="0" headerRowDxfId="255" dataDxfId="253" headerRowBorderDxfId="254" tableBorderDxfId="252" headerRowCellStyle="Normal 24 2 2 5 2" dataCellStyle="Normal 26">
  <autoFilter ref="A56:H62"/>
  <tableColumns count="8">
    <tableColumn id="1" name="Function Point" dataDxfId="251" dataCellStyle="Normal 26 6"/>
    <tableColumn id="2" name="Condition" dataDxfId="250" dataCellStyle="Normal 26">
      <calculatedColumnFormula>(AlchemyJ_FunctionPoint=$A57)</calculatedColumnFormula>
    </tableColumn>
    <tableColumn id="3" name="Custom Condition" dataDxfId="249" dataCellStyle="Normal 26"/>
    <tableColumn id="4" name="Run" dataDxfId="248" dataCellStyle="Normal 26">
      <calculatedColumnFormula>OR($B57, $C57)</calculatedColumnFormula>
    </tableColumn>
    <tableColumn id="5" name="SQL Statement" dataDxfId="247" dataCellStyle="Normal 26"/>
    <tableColumn id="6" name="Parameters" dataDxfId="246" dataCellStyle="Normal 26"/>
    <tableColumn id="8" name="Return Type" dataDxfId="245" dataCellStyle="Normal 26"/>
    <tableColumn id="7" name="Result" dataDxfId="244" dataCellStyle="Normal 26 6"/>
  </tableColumns>
  <tableStyleInfo name="TableStyleMedium2" showFirstColumn="0" showLastColumn="0" showRowStripes="1" showColumnStripes="0"/>
</table>
</file>

<file path=xl/tables/table3.xml><?xml version="1.0" encoding="utf-8"?>
<table xmlns="http://schemas.openxmlformats.org/spreadsheetml/2006/main" id="26" name="CRUD_Input_tbl" displayName="CRUD_Input_tbl" ref="A44:B52" totalsRowShown="0" headerRowDxfId="243" dataDxfId="242" tableBorderDxfId="241" headerRowCellStyle="Normal 24 2 2 5 2" dataCellStyle="Normal 26 6">
  <autoFilter ref="A44:B52"/>
  <tableColumns count="2">
    <tableColumn id="1" name="Data Name" dataDxfId="240" dataCellStyle="Normal 26 6"/>
    <tableColumn id="2" name="Input Value" dataDxfId="239" dataCellStyle="Normal 26 6">
      <calculatedColumnFormula>#REF!</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AlchemyJ_Snippet_Data_Relationship_Schema_tbl34" displayName="AlchemyJ_Snippet_Data_Relationship_Schema_tbl34" ref="B4:L6" totalsRowShown="0" headerRowDxfId="238" dataDxfId="237" headerRowCellStyle="Normal 24 2 2 5 2">
  <autoFilter ref="B4:L6"/>
  <tableColumns count="11">
    <tableColumn id="1" name="JSON Node Name" dataDxfId="236"/>
    <tableColumn id="2" name="Table" dataDxfId="235"/>
    <tableColumn id="3" name="Table Address" dataDxfId="234">
      <calculatedColumnFormula>ajGetAddress(D44)</calculatedColumnFormula>
    </tableColumn>
    <tableColumn id="4" name="Parent Table" dataDxfId="233"/>
    <tableColumn id="5" name="Key" dataDxfId="232"/>
    <tableColumn id="6" name="Multiple Row" dataDxfId="231"/>
    <tableColumn id="7" name="Data Dictionary Address" dataDxfId="230">
      <calculatedColumnFormula>ajGetAddress(DataDictionary!AlchemyJ_DataDic)</calculatedColumnFormula>
    </tableColumn>
    <tableColumn id="8" name="Header Position" dataDxfId="229"/>
    <tableColumn id="9" name="Required" dataDxfId="228"/>
    <tableColumn id="10" name="Description" dataDxfId="227"/>
    <tableColumn id="11" name="API Model Name" dataDxfId="226"/>
  </tableColumns>
  <tableStyleInfo name="TableStyleMedium2" showFirstColumn="0" showLastColumn="0" showRowStripes="1" showColumnStripes="0"/>
</table>
</file>

<file path=xl/tables/table5.xml><?xml version="1.0" encoding="utf-8"?>
<table xmlns="http://schemas.openxmlformats.org/spreadsheetml/2006/main" id="28" name="AlchemyJ_Snippet_Data_Relationship_Schema_tbl35" displayName="AlchemyJ_Snippet_Data_Relationship_Schema_tbl35" ref="B12:L14" totalsRowShown="0" headerRowDxfId="225" dataDxfId="224" headerRowCellStyle="Normal 24 2 2 5 2">
  <autoFilter ref="B12:L14"/>
  <tableColumns count="11">
    <tableColumn id="1" name="JSON Node Name" dataDxfId="223"/>
    <tableColumn id="2" name="Table" dataDxfId="222"/>
    <tableColumn id="3" name="Table Address" dataDxfId="221"/>
    <tableColumn id="4" name="Parent Table" dataDxfId="220">
      <calculatedColumnFormula>C12</calculatedColumnFormula>
    </tableColumn>
    <tableColumn id="5" name="Key" dataDxfId="219"/>
    <tableColumn id="6" name="Multiple Row" dataDxfId="218"/>
    <tableColumn id="7" name="Data Dictionary Address" dataDxfId="217">
      <calculatedColumnFormula>ajGetAddress(DataDictionary!AlchemyJ_DataDic)</calculatedColumnFormula>
    </tableColumn>
    <tableColumn id="8" name="Header Position" dataDxfId="216"/>
    <tableColumn id="9" name="Required" dataDxfId="215"/>
    <tableColumn id="10" name="Description" dataDxfId="214"/>
    <tableColumn id="11" name="API Model Name" dataDxfId="213"/>
  </tableColumns>
  <tableStyleInfo name="TableStyleMedium2" showFirstColumn="0" showLastColumn="0" showRowStripes="1" showColumnStripes="0"/>
</table>
</file>

<file path=xl/tables/table6.xml><?xml version="1.0" encoding="utf-8"?>
<table xmlns="http://schemas.openxmlformats.org/spreadsheetml/2006/main" id="29" name="AlchemyJ_Snippet_Data_Relationship_Schema_tbl36" displayName="AlchemyJ_Snippet_Data_Relationship_Schema_tbl36" ref="B15:L16" totalsRowShown="0" headerRowDxfId="212" dataDxfId="211" headerRowCellStyle="Normal 24 2 2 5 2">
  <autoFilter ref="B15:L16"/>
  <tableColumns count="11">
    <tableColumn id="1" name="JSON Node Name" dataDxfId="210"/>
    <tableColumn id="2" name="Table" dataDxfId="209"/>
    <tableColumn id="3" name="Table Address" dataDxfId="208">
      <calculatedColumnFormula>ajGetAddress(G61:H61)</calculatedColumnFormula>
    </tableColumn>
    <tableColumn id="4" name="Parent Table" dataDxfId="207"/>
    <tableColumn id="5" name="Key" dataDxfId="206"/>
    <tableColumn id="6" name="Multiple Row" dataDxfId="205"/>
    <tableColumn id="7" name="Data Dictionary Address" dataDxfId="204">
      <calculatedColumnFormula>ajGetAddress(DataDictionary!AlchemyJ_DataDic)</calculatedColumnFormula>
    </tableColumn>
    <tableColumn id="8" name="Header Position" dataDxfId="203"/>
    <tableColumn id="9" name="Required" dataDxfId="202"/>
    <tableColumn id="10" name="Description" dataDxfId="201"/>
    <tableColumn id="11" name="API Model Name" dataDxfId="200"/>
  </tableColumns>
  <tableStyleInfo name="TableStyleMedium2" showFirstColumn="0" showLastColumn="0" showRowStripes="1" showColumnStripes="0"/>
</table>
</file>

<file path=xl/tables/table7.xml><?xml version="1.0" encoding="utf-8"?>
<table xmlns="http://schemas.openxmlformats.org/spreadsheetml/2006/main" id="32" name="AlchemyJ_Snippet_Data_Relationship_Schema_tbl37" displayName="AlchemyJ_Snippet_Data_Relationship_Schema_tbl37" ref="B17:L18" totalsRowShown="0" headerRowDxfId="199" dataDxfId="198" headerRowCellStyle="Normal 24 2 2 5 2">
  <autoFilter ref="B17:L18"/>
  <tableColumns count="11">
    <tableColumn id="1" name="JSON Node Name" dataDxfId="197"/>
    <tableColumn id="2" name="Table" dataDxfId="196"/>
    <tableColumn id="3" name="Table Address" dataDxfId="195">
      <calculatedColumnFormula>ajGetAddress(G62:H62)</calculatedColumnFormula>
    </tableColumn>
    <tableColumn id="4" name="Parent Table" dataDxfId="194"/>
    <tableColumn id="5" name="Key" dataDxfId="193"/>
    <tableColumn id="6" name="Multiple Row" dataDxfId="192"/>
    <tableColumn id="7" name="Data Dictionary Address" dataDxfId="191">
      <calculatedColumnFormula>ajGetAddress(DataDictionary!AlchemyJ_DataDic)</calculatedColumnFormula>
    </tableColumn>
    <tableColumn id="8" name="Header Position" dataDxfId="190"/>
    <tableColumn id="9" name="Required" dataDxfId="189"/>
    <tableColumn id="10" name="Description" dataDxfId="188"/>
    <tableColumn id="11" name="API Model Name" dataDxfId="187"/>
  </tableColumns>
  <tableStyleInfo name="TableStyleMedium2" showFirstColumn="0" showLastColumn="0" showRowStripes="1" showColumnStripes="0"/>
</table>
</file>

<file path=xl/tables/table8.xml><?xml version="1.0" encoding="utf-8"?>
<table xmlns="http://schemas.openxmlformats.org/spreadsheetml/2006/main" id="33" name="AlchemyJ_Snippet_Data_Relationship_Schema_tbl38" displayName="AlchemyJ_Snippet_Data_Relationship_Schema_tbl38" ref="B10:L11" totalsRowShown="0" headerRowDxfId="186" dataDxfId="185" headerRowCellStyle="Normal 24 2 2 5 2">
  <autoFilter ref="B10:L11"/>
  <tableColumns count="11">
    <tableColumn id="1" name="JSON Node Name" dataDxfId="184"/>
    <tableColumn id="2" name="Table" dataDxfId="183"/>
    <tableColumn id="3" name="Table Address" dataDxfId="182">
      <calculatedColumnFormula>ajGetAddress(G57:H57)</calculatedColumnFormula>
    </tableColumn>
    <tableColumn id="4" name="Parent Table" dataDxfId="181"/>
    <tableColumn id="5" name="Key" dataDxfId="180"/>
    <tableColumn id="6" name="Multiple Row" dataDxfId="179"/>
    <tableColumn id="7" name="Data Dictionary Address" dataDxfId="178">
      <calculatedColumnFormula>ajGetAddress(DataDictionary!AlchemyJ_DataDic)</calculatedColumnFormula>
    </tableColumn>
    <tableColumn id="8" name="Header Position" dataDxfId="177"/>
    <tableColumn id="9" name="Required" dataDxfId="176"/>
    <tableColumn id="10" name="Description" dataDxfId="175"/>
    <tableColumn id="11" name="API Model Name" dataDxfId="174"/>
  </tableColumns>
  <tableStyleInfo name="TableStyleMedium2" showFirstColumn="0" showLastColumn="0" showRowStripes="1" showColumnStripes="0"/>
</table>
</file>

<file path=xl/tables/table9.xml><?xml version="1.0" encoding="utf-8"?>
<table xmlns="http://schemas.openxmlformats.org/spreadsheetml/2006/main" id="2" name="AlchemyJ_RestPkg_ClassList_tbl" displayName="AlchemyJ_RestPkg_ClassList_tbl" ref="A11:A16" totalsRowShown="0" headerRowDxfId="173" dataDxfId="171" headerRowBorderDxfId="172" headerRowCellStyle="Normal 24 2 2 5 2">
  <autoFilter ref="A11:A16"/>
  <tableColumns count="1">
    <tableColumn id="1" name="Endpoint group Definition Sheets" dataDxfId="170"/>
  </tableColumns>
  <tableStyleInfo name="TableStyleMedium2" showFirstColumn="0" showLastColumn="0" showRowStripes="1" showColumnStripes="0"/>
</table>
</file>

<file path=xl/tables/table10.xml><?xml version="1.0" encoding="utf-8"?>
<table xmlns="http://schemas.openxmlformats.org/spreadsheetml/2006/main" id="3" name="AlchemyJ_RestPkg_ET_Setting_tbl" displayName="AlchemyJ_RestPkg_ET_Setting_tbl" ref="A27:C30" totalsRowShown="0" headerRowDxfId="169" dataDxfId="167" headerRowBorderDxfId="168" headerRowCellStyle="Normal 24 2 2 5 2">
  <autoFilter ref="A27:C30"/>
  <tableColumns count="3">
    <tableColumn id="1" name="Property" dataDxfId="166"/>
    <tableColumn id="2" name="Value" dataDxfId="165"/>
    <tableColumn id="3" name="Remarks" dataDxfId="164"/>
  </tableColumns>
  <tableStyleInfo name="TableStyleMedium2" showFirstColumn="0" showLastColumn="0" showRowStripes="1" showColumnStripes="0"/>
</table>
</file>

<file path=xl/tables/table11.xml><?xml version="1.0" encoding="utf-8"?>
<table xmlns="http://schemas.openxmlformats.org/spreadsheetml/2006/main" id="4" name="AlchemyJ_RestPkg_DataSource_Setting_tbl" displayName="AlchemyJ_RestPkg_DataSource_Setting_tbl" ref="A34:D44" totalsRowShown="0" headerRowDxfId="163" dataDxfId="161" headerRowBorderDxfId="162" headerRowCellStyle="Normal 24 2 2 5 2">
  <autoFilter ref="A34:D44"/>
  <tableColumns count="4">
    <tableColumn id="4" name="Data Source ID" dataDxfId="160"/>
    <tableColumn id="1" name="Property" dataDxfId="159"/>
    <tableColumn id="2" name="Value" dataDxfId="158"/>
    <tableColumn id="5" name="Remarks" dataDxfId="157"/>
  </tableColumns>
  <tableStyleInfo name="TableStyleMedium2" showFirstColumn="0" showLastColumn="0" showRowStripes="1" showColumnStripes="0"/>
</table>
</file>

<file path=xl/tables/table12.xml><?xml version="1.0" encoding="utf-8"?>
<table xmlns="http://schemas.openxmlformats.org/spreadsheetml/2006/main" id="5" name="AlchemyJ_RestPkg_AlchemyJ_Setting_tbl" displayName="AlchemyJ_RestPkg_AlchemyJ_Setting_tbl" ref="A20:C23" totalsRowShown="0" headerRowDxfId="156" dataDxfId="154" headerRowBorderDxfId="155" headerRowCellStyle="Normal 24 2 2 5 2">
  <autoFilter ref="A20:C23"/>
  <tableColumns count="3">
    <tableColumn id="1" name="Property" dataDxfId="153"/>
    <tableColumn id="2" name="Value" dataDxfId="152"/>
    <tableColumn id="3" name="Remarks" dataDxfId="151"/>
  </tableColumns>
  <tableStyleInfo name="TableStyleMedium2" showFirstColumn="0" showLastColumn="0" showRowStripes="1" showColumnStripes="0"/>
</table>
</file>

<file path=xl/tables/table13.xml><?xml version="1.0" encoding="utf-8"?>
<table xmlns="http://schemas.openxmlformats.org/spreadsheetml/2006/main" id="6" name="AlchemyJ_RestPkg_SessionManagement_Setting_tbl" displayName="AlchemyJ_RestPkg_SessionManagement_Setting_tbl" ref="A48:C52" totalsRowShown="0" headerRowDxfId="150" dataDxfId="148" headerRowBorderDxfId="149" headerRowCellStyle="Normal 24 2 2 5 2">
  <autoFilter ref="A48:C52"/>
  <tableColumns count="3">
    <tableColumn id="1" name="Property" dataDxfId="147"/>
    <tableColumn id="2" name="Value" dataDxfId="146"/>
    <tableColumn id="3" name="Remarks" dataDxfId="145"/>
  </tableColumns>
  <tableStyleInfo name="TableStyleMedium2" showFirstColumn="0" showLastColumn="0" showRowStripes="1" showColumnStripes="0"/>
</table>
</file>

<file path=xl/tables/table14.xml><?xml version="1.0" encoding="utf-8"?>
<table xmlns="http://schemas.openxmlformats.org/spreadsheetml/2006/main" id="7" name="AlchemyJ_RestPkg_LDAP_Settings_Tbl" displayName="AlchemyJ_RestPkg_LDAP_Settings_Tbl" ref="A56:D58" totalsRowShown="0" headerRowDxfId="144" dataDxfId="142" headerRowBorderDxfId="143" headerRowCellStyle="Normal 24 2 2 5 2">
  <autoFilter ref="A56:D58"/>
  <tableColumns count="4">
    <tableColumn id="4" name="LDAP Connection ID" dataDxfId="141"/>
    <tableColumn id="1" name="Property" dataDxfId="140"/>
    <tableColumn id="2" name="Value" dataDxfId="139"/>
    <tableColumn id="5" name="Remarks" dataDxfId="138"/>
  </tableColumns>
  <tableStyleInfo name="TableStyleMedium2" showFirstColumn="0" showLastColumn="0" showRowStripes="1" showColumnStripes="0"/>
</table>
</file>

<file path=xl/tables/table15.xml><?xml version="1.0" encoding="utf-8"?>
<table xmlns="http://schemas.openxmlformats.org/spreadsheetml/2006/main" id="8" name="AlchemyJ_RestPkg_Setting_tbl" displayName="AlchemyJ_RestPkg_Setting_tbl" ref="A4:C7" totalsRowShown="0" headerRowDxfId="137" dataDxfId="135" headerRowBorderDxfId="136" headerRowCellStyle="Normal 24 2 2 5 2">
  <autoFilter ref="A4:C7"/>
  <tableColumns count="3">
    <tableColumn id="1" name="Property" dataDxfId="134"/>
    <tableColumn id="2" name="Value" dataDxfId="133"/>
    <tableColumn id="3" name="Remarks" dataDxfId="132"/>
  </tableColumns>
  <tableStyleInfo name="TableStyleMedium2" showFirstColumn="0" showLastColumn="0" showRowStripes="1" showColumnStripes="0"/>
</table>
</file>

<file path=xl/tables/table16.xml><?xml version="1.0" encoding="utf-8"?>
<table xmlns="http://schemas.openxmlformats.org/spreadsheetml/2006/main" id="9" name="AlchemyJ_Maven_Dependency_REST_tbl" displayName="AlchemyJ_Maven_Dependency_REST_tbl" ref="A81:D83" totalsRowShown="0" headerRowDxfId="131" dataDxfId="129" headerRowBorderDxfId="130" headerRowCellStyle="Normal 24 2 2 5 2">
  <autoFilter ref="A81:D83"/>
  <tableColumns count="4">
    <tableColumn id="1" name="Maven Group ID" dataDxfId="128"/>
    <tableColumn id="2" name="Maven Artifact ID" dataDxfId="127"/>
    <tableColumn id="3" name="Maven Version" dataDxfId="126"/>
    <tableColumn id="4" name="Scope" dataDxfId="125"/>
  </tableColumns>
  <tableStyleInfo name="TableStyleMedium2" showFirstColumn="0" showLastColumn="0" showRowStripes="1" showColumnStripes="0"/>
</table>
</file>

<file path=xl/tables/table17.xml><?xml version="1.0" encoding="utf-8"?>
<table xmlns="http://schemas.openxmlformats.org/spreadsheetml/2006/main" id="10" name="AlchemyJ_RestPkg_Additional_Config_Tbl" displayName="AlchemyJ_RestPkg_Additional_Config_Tbl" ref="A87:C89" totalsRowShown="0" headerRowDxfId="124" dataDxfId="122" headerRowBorderDxfId="123" headerRowCellStyle="Normal 24 2 2 5 2">
  <autoFilter ref="A87:C89"/>
  <tableColumns count="3">
    <tableColumn id="1" name="Property" dataDxfId="121"/>
    <tableColumn id="2" name="Value" dataDxfId="120"/>
    <tableColumn id="5" name="Remarks" dataDxfId="119"/>
  </tableColumns>
  <tableStyleInfo name="TableStyleMedium2" showFirstColumn="0" showLastColumn="0" showRowStripes="1" showColumnStripes="0"/>
</table>
</file>

<file path=xl/tables/table18.xml><?xml version="1.0" encoding="utf-8"?>
<table xmlns="http://schemas.openxmlformats.org/spreadsheetml/2006/main" id="11" name="AlchemyJ_RestPkg_Advance_Settings_Tbl" displayName="AlchemyJ_RestPkg_Advance_Settings_Tbl" ref="A62:C77" totalsRowShown="0" headerRowDxfId="118" dataDxfId="116" headerRowBorderDxfId="117" headerRowCellStyle="Normal 24 2 2 5 2">
  <autoFilter ref="A62:C77"/>
  <tableColumns count="3">
    <tableColumn id="1" name="Property" dataDxfId="115"/>
    <tableColumn id="2" name="Value" dataDxfId="114"/>
    <tableColumn id="5" name="Remarks" dataDxfId="113"/>
  </tableColumns>
  <tableStyleInfo name="TableStyleMedium2" showFirstColumn="0" showLastColumn="0" showRowStripes="1" showColumnStripes="0"/>
</table>
</file>

<file path=xl/tables/table19.xml><?xml version="1.0" encoding="utf-8"?>
<table xmlns="http://schemas.openxmlformats.org/spreadsheetml/2006/main" id="12" name="AlchemyJ_RestPkg_Doc_Config_Tbl" displayName="AlchemyJ_RestPkg_Doc_Config_Tbl" ref="A93:C102" totalsRowShown="0" headerRowDxfId="112" dataDxfId="110" headerRowBorderDxfId="111" headerRowCellStyle="Normal 24 2 2 5 2">
  <autoFilter ref="A93:C102"/>
  <tableColumns count="3">
    <tableColumn id="1" name="Property" dataDxfId="109"/>
    <tableColumn id="2" name="Value" dataDxfId="108"/>
    <tableColumn id="3" name="Remarks" dataDxfId="107"/>
  </tableColumns>
  <tableStyleInfo name="TableStyleMedium2" showFirstColumn="0" showLastColumn="0" showRowStripes="1" showColumnStripes="0"/>
</table>
</file>

<file path=xl/tables/table20.xml><?xml version="1.0" encoding="utf-8"?>
<table xmlns="http://schemas.openxmlformats.org/spreadsheetml/2006/main" id="13" name="AlchemyJ_RestPkg_Response_Code_Config_Tbl" displayName="AlchemyJ_RestPkg_Response_Code_Config_Tbl" ref="A106:C112" totalsRowShown="0" headerRowDxfId="106" dataDxfId="104" headerRowBorderDxfId="105" headerRowCellStyle="Normal 24 2 2 5 2">
  <autoFilter ref="A106:C112"/>
  <tableColumns count="3">
    <tableColumn id="1" name="HTTP Response Status Code" dataDxfId="103"/>
    <tableColumn id="2" name="Message" dataDxfId="102"/>
    <tableColumn id="5" name="Remarks" dataDxfId="101"/>
  </tableColumns>
  <tableStyleInfo name="TableStyleMedium2" showFirstColumn="0" showLastColumn="0" showRowStripes="1" showColumnStripes="0"/>
</table>
</file>

<file path=xl/tables/table21.xml><?xml version="1.0" encoding="utf-8"?>
<table xmlns="http://schemas.openxmlformats.org/spreadsheetml/2006/main" id="14" name="AlchemyJ_RestCls_SheetDef_tbl" displayName="AlchemyJ_RestCls_SheetDef_tbl" ref="A47:A57" totalsRowShown="0" headerRowDxfId="100" dataDxfId="98" headerRowBorderDxfId="99" headerRowCellStyle="Normal 24 2 2 5 2">
  <autoFilter ref="A47:A57"/>
  <tableColumns count="1">
    <tableColumn id="2" name="Worksheet Effective Range" dataDxfId="97" dataCellStyle="Normal 23"/>
  </tableColumns>
  <tableStyleInfo name="TableStyleMedium2" showFirstColumn="0" showLastColumn="0" showRowStripes="1" showColumnStripes="0"/>
</table>
</file>

<file path=xl/tables/table22.xml><?xml version="1.0" encoding="utf-8"?>
<table xmlns="http://schemas.openxmlformats.org/spreadsheetml/2006/main" id="15" name="AlchemyJ_RestCls_OutputSettings_tbl" displayName="AlchemyJ_RestCls_OutputSettings_tbl" ref="A4:C8" totalsRowShown="0" headerRowDxfId="96" dataDxfId="94" headerRowBorderDxfId="95" headerRowCellStyle="Normal 24 2 2 5 2">
  <autoFilter ref="A4:C8"/>
  <tableColumns count="3">
    <tableColumn id="1" name="Property" dataDxfId="93"/>
    <tableColumn id="2" name="Value" dataDxfId="92"/>
    <tableColumn id="3" name="Remarks" dataDxfId="91"/>
  </tableColumns>
  <tableStyleInfo name="TableStyleMedium2" showFirstColumn="0" showLastColumn="0" showRowStripes="1" showColumnStripes="0"/>
</table>
</file>

<file path=xl/tables/table23.xml><?xml version="1.0" encoding="utf-8"?>
<table xmlns="http://schemas.openxmlformats.org/spreadsheetml/2006/main" id="16" name="AlchemyJ_RestCls_EndPointDef_tbl" displayName="AlchemyJ_RestCls_EndPointDef_tbl" ref="A12:H22" totalsRowShown="0" headerRowDxfId="90" dataDxfId="88" headerRowBorderDxfId="89" headerRowCellStyle="Normal 24 2 2 5 2" dataCellStyle="Normal 23">
  <autoFilter ref="A12:H22"/>
  <tableColumns count="8">
    <tableColumn id="20" name="Function Point" dataDxfId="87" dataCellStyle="Normal 23"/>
    <tableColumn id="2" name="Path" dataDxfId="86" dataCellStyle="Normal 23"/>
    <tableColumn id="3" name="Operation" dataDxfId="85" dataCellStyle="Normal 23"/>
    <tableColumn id="11" name="Response Data Address" dataDxfId="84" dataCellStyle="Normal 23"/>
    <tableColumn id="13" name="DB Operation Type" dataDxfId="83" dataCellStyle="Normal 23"/>
    <tableColumn id="5" name="Mark Deprecated" dataDxfId="82" dataCellStyle="Normal 23"/>
    <tableColumn id="4" name="Description" dataDxfId="81" dataCellStyle="Normal 23"/>
    <tableColumn id="1" name="Notes" dataDxfId="80" dataCellStyle="Normal 23"/>
  </tableColumns>
  <tableStyleInfo name="TableStyleMedium2" showFirstColumn="0" showLastColumn="0" showRowStripes="1" showColumnStripes="0"/>
</table>
</file>

<file path=xl/tables/table24.xml><?xml version="1.0" encoding="utf-8"?>
<table xmlns="http://schemas.openxmlformats.org/spreadsheetml/2006/main" id="17" name="AlchemyJ_RestCls_EndPointParamDef_tbl" displayName="AlchemyJ_RestCls_EndPointParamDef_tbl" ref="A26:I36" totalsRowShown="0" headerRowDxfId="79" dataDxfId="77" headerRowBorderDxfId="78" tableBorderDxfId="76" headerRowCellStyle="Normal 24 2 2 5 2" dataCellStyle="Normal 23">
  <autoFilter ref="A26:I36"/>
  <tableColumns count="9">
    <tableColumn id="1" name="Function Point" dataDxfId="75" dataCellStyle="Normal 23"/>
    <tableColumn id="13" name="Style" dataDxfId="74" dataCellStyle="Normal 23"/>
    <tableColumn id="4" name="Name" dataDxfId="73" dataCellStyle="Normal 23"/>
    <tableColumn id="3" name="Data Type" dataDxfId="72" dataCellStyle="Normal 23"/>
    <tableColumn id="5" name="Data Address" dataDxfId="71" dataCellStyle="Normal 23"/>
    <tableColumn id="6" name="Required" dataDxfId="70" dataCellStyle="Normal 23"/>
    <tableColumn id="7" name="Default Value" dataDxfId="69" dataCellStyle="Normal 23"/>
    <tableColumn id="8" name="Example Value" dataDxfId="68" dataCellStyle="Normal 23"/>
    <tableColumn id="2" name="Description" dataDxfId="67" dataCellStyle="Normal 23"/>
  </tableColumns>
  <tableStyleInfo name="TableStyleMedium2" showFirstColumn="0" showLastColumn="0" showRowStripes="1" showColumnStripes="0"/>
</table>
</file>

<file path=xl/tables/table25.xml><?xml version="1.0" encoding="utf-8"?>
<table xmlns="http://schemas.openxmlformats.org/spreadsheetml/2006/main" id="18" name="AlchemyJ_RestCls_EndPointRespOperationDef_tbl" displayName="AlchemyJ_RestCls_EndPointRespOperationDef_tbl" ref="A40:D43" totalsRowShown="0" headerRowDxfId="66" dataDxfId="64" headerRowBorderDxfId="65" headerRowCellStyle="Normal 24 2 2 5 2" dataCellStyle="Normal 23">
  <autoFilter ref="A40:D43"/>
  <tableColumns count="4">
    <tableColumn id="1" name="Function Point" dataDxfId="63" dataCellStyle="Normal 23"/>
    <tableColumn id="2" name="Style" dataDxfId="62" dataCellStyle="Normal 23"/>
    <tableColumn id="10" name="Name" dataDxfId="61" dataCellStyle="Normal 23"/>
    <tableColumn id="3" name="Data Address" dataDxfId="60" dataCellStyle="Normal 23"/>
  </tableColumns>
  <tableStyleInfo name="TableStyleMedium2" showFirstColumn="0" showLastColumn="0" showRowStripes="1" showColumnStripes="0"/>
</table>
</file>

<file path=xl/tables/table26.xml><?xml version="1.0" encoding="utf-8"?>
<table xmlns="http://schemas.openxmlformats.org/spreadsheetml/2006/main" id="22" name="AlchemyJ_DBSchema_tbl" displayName="AlchemyJ_DBSchema_tbl" ref="A4:R12" totalsRowShown="0" headerRowDxfId="59" dataDxfId="57" headerRowBorderDxfId="58" tableBorderDxfId="56" headerRowCellStyle="Normal 24 2 2 5 2" dataCellStyle="Normal 26">
  <autoFilter ref="A4:R12"/>
  <sortState ref="A5:R12">
    <sortCondition ref="A4:A12"/>
    <sortCondition ref="B4:B12"/>
    <sortCondition ref="C4:C12"/>
    <sortCondition ref="D4:D12"/>
    <sortCondition ref="F4:F12"/>
  </sortState>
  <tableColumns count="18">
    <tableColumn id="11" name="Data Source ID" dataDxfId="55" dataCellStyle="Normal 26"/>
    <tableColumn id="12" name="Table Owner" dataDxfId="54" dataCellStyle="Normal 26 3"/>
    <tableColumn id="10" name="Table Name" dataDxfId="53" dataCellStyle="Normal 26"/>
    <tableColumn id="1" name="Column ID" dataDxfId="52" dataCellStyle="Normal 26"/>
    <tableColumn id="2" name="Column Display Name" dataDxfId="51" dataCellStyle="Normal 26"/>
    <tableColumn id="3" name="Column Name" dataDxfId="50" dataCellStyle="Normal 26"/>
    <tableColumn id="4" name="Data Type" dataDxfId="49" dataCellStyle="Normal 26"/>
    <tableColumn id="5" name="Data Length" dataDxfId="48" dataCellStyle="Normal 26"/>
    <tableColumn id="16" name="Data Precision" dataDxfId="47" dataCellStyle="Normal 26 3"/>
    <tableColumn id="15" name="Data Scale" dataDxfId="46" dataCellStyle="Normal 26 3"/>
    <tableColumn id="6" name="Mandatory" dataDxfId="45" dataCellStyle="Normal 26"/>
    <tableColumn id="7" name="Key Order" dataDxfId="44" dataCellStyle="Normal 26"/>
    <tableColumn id="8" name="Default Value Type" dataDxfId="43" dataCellStyle="Normal 26"/>
    <tableColumn id="9" name="In Out" dataDxfId="42" dataCellStyle="Normal 26"/>
    <tableColumn id="17" name="Mapped Data Type" dataDxfId="41" dataCellStyle="Normal 26 3"/>
    <tableColumn id="14" name="Data Dictionary Address" dataDxfId="40" dataCellStyle="Normal 26"/>
    <tableColumn id="13" name="Data Name" dataDxfId="39" dataCellStyle="Normal 26"/>
    <tableColumn id="18" name="Case Insensitive" dataDxfId="38" dataCellStyle="Normal 26"/>
  </tableColumns>
  <tableStyleInfo name="TableStyleMedium2" showFirstColumn="0" showLastColumn="0" showRowStripes="1" showColumnStripes="0"/>
</table>
</file>

<file path=xl/tables/table27.xml><?xml version="1.0" encoding="utf-8"?>
<table xmlns="http://schemas.openxmlformats.org/spreadsheetml/2006/main" id="23" name="AlchemyJ_DataDic_tbl" displayName="AlchemyJ_DataDic_tbl" ref="A11:AJ22" totalsRowShown="0" headerRowDxfId="37" dataDxfId="36">
  <autoFilter ref="A11:AJ22"/>
  <tableColumns count="36">
    <tableColumn id="1" name="Data Name" dataDxfId="35"/>
    <tableColumn id="2" name="Data Type" dataDxfId="34"/>
    <tableColumn id="21" name="Display Name" dataDxfId="33" dataCellStyle="Normal 10 13 2 2"/>
    <tableColumn id="3" name="Required" dataDxfId="32"/>
    <tableColumn id="4" name="Default Value" dataDxfId="31"/>
    <tableColumn id="22" name="Example Value" dataDxfId="30" dataCellStyle="Normal 10 13 2 2"/>
    <tableColumn id="24" name="Description" dataDxfId="29" dataCellStyle="Normal 10 13 2 2"/>
    <tableColumn id="5" name="Multiple Of" dataDxfId="28"/>
    <tableColumn id="6" name="Maximum" dataDxfId="27"/>
    <tableColumn id="7" name="Exclusive Maximum" dataDxfId="26"/>
    <tableColumn id="8" name="Minimum" dataDxfId="25"/>
    <tableColumn id="9" name="Exclusive Minimum" dataDxfId="24"/>
    <tableColumn id="10" name="Number Value List" dataDxfId="23"/>
    <tableColumn id="12" name="Rounding" dataDxfId="22"/>
    <tableColumn id="23" name="Rounding Number of Digits" dataDxfId="21"/>
    <tableColumn id="14" name="Max Length" dataDxfId="20"/>
    <tableColumn id="15" name="Min Length" dataDxfId="19"/>
    <tableColumn id="16" name="String Value List" dataDxfId="18"/>
    <tableColumn id="17" name="Pattern" dataDxfId="17"/>
    <tableColumn id="18" name="Format Type" dataDxfId="16"/>
    <tableColumn id="19" name="Case Conversion" dataDxfId="15"/>
    <tableColumn id="20" name="Date Format" dataDxfId="14" dataCellStyle="Normal 10 13 2 2"/>
    <tableColumn id="13" name="Minimum Days" dataDxfId="13" dataCellStyle="Normal 10 13 2 2"/>
    <tableColumn id="26" name="On and After" dataDxfId="12" dataCellStyle="Normal 10 13 2 2"/>
    <tableColumn id="11" name="Maximum Days" dataDxfId="11" dataCellStyle="Normal 10 13 2 2"/>
    <tableColumn id="25" name="On and Before" dataDxfId="10"/>
    <tableColumn id="32" name="Allowed Days of Week" dataDxfId="9" dataCellStyle="Normal 10 13 2 2"/>
    <tableColumn id="30" name="Disallow Dates" dataDxfId="8"/>
    <tableColumn id="31" name="Disallowed Dates Handling" dataDxfId="7"/>
    <tableColumn id="29" name="Convert To" dataDxfId="6" dataCellStyle="Normal 10 13 2 2"/>
    <tableColumn id="33" name="Min File Size" dataDxfId="5"/>
    <tableColumn id="34" name="Max File Size" dataDxfId="4"/>
    <tableColumn id="35" name="File Name Pattern" dataDxfId="3"/>
    <tableColumn id="36" name="Allowed File Extension" dataDxfId="2"/>
    <tableColumn id="37" name="Disallowed File Extension" dataDxfId="1"/>
    <tableColumn id="38" name="Magic Number Check"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 Id="rId9" Type="http://schemas.openxmlformats.org/officeDocument/2006/relationships/table" Target="../tables/table8.xml"/></Relationships>
</file>

<file path=xl/worksheets/_rels/sheet3.xml.rels><?xml version="1.0" encoding="UTF-8" standalone="yes"?>
<Relationships xmlns="http://schemas.openxmlformats.org/package/2006/relationships"><Relationship Id="rId8" Type="http://schemas.openxmlformats.org/officeDocument/2006/relationships/table" Target="../tables/table15.xml"/><Relationship Id="rId13" Type="http://schemas.openxmlformats.org/officeDocument/2006/relationships/table" Target="../tables/table20.xml"/><Relationship Id="rId3" Type="http://schemas.openxmlformats.org/officeDocument/2006/relationships/table" Target="../tables/table10.xml"/><Relationship Id="rId7" Type="http://schemas.openxmlformats.org/officeDocument/2006/relationships/table" Target="../tables/table14.xml"/><Relationship Id="rId12" Type="http://schemas.openxmlformats.org/officeDocument/2006/relationships/table" Target="../tables/table19.xml"/><Relationship Id="rId2" Type="http://schemas.openxmlformats.org/officeDocument/2006/relationships/table" Target="../tables/table9.xml"/><Relationship Id="rId1" Type="http://schemas.openxmlformats.org/officeDocument/2006/relationships/printerSettings" Target="../printerSettings/printerSettings3.bin"/><Relationship Id="rId6" Type="http://schemas.openxmlformats.org/officeDocument/2006/relationships/table" Target="../tables/table13.xml"/><Relationship Id="rId11" Type="http://schemas.openxmlformats.org/officeDocument/2006/relationships/table" Target="../tables/table18.xml"/><Relationship Id="rId5" Type="http://schemas.openxmlformats.org/officeDocument/2006/relationships/table" Target="../tables/table12.xml"/><Relationship Id="rId10" Type="http://schemas.openxmlformats.org/officeDocument/2006/relationships/table" Target="../tables/table17.xml"/><Relationship Id="rId4" Type="http://schemas.openxmlformats.org/officeDocument/2006/relationships/table" Target="../tables/table11.xml"/><Relationship Id="rId9" Type="http://schemas.openxmlformats.org/officeDocument/2006/relationships/table" Target="../tables/table16.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4.bin"/><Relationship Id="rId6" Type="http://schemas.openxmlformats.org/officeDocument/2006/relationships/table" Target="../tables/table25.xml"/><Relationship Id="rId5" Type="http://schemas.openxmlformats.org/officeDocument/2006/relationships/table" Target="../tables/table24.xml"/><Relationship Id="rId4" Type="http://schemas.openxmlformats.org/officeDocument/2006/relationships/table" Target="../tables/table2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25"/>
  <sheetViews>
    <sheetView tabSelected="1" workbookViewId="0">
      <selection activeCell="C1" sqref="C1"/>
    </sheetView>
  </sheetViews>
  <sheetFormatPr defaultColWidth="9.140625" defaultRowHeight="15"/>
  <cols>
    <col min="1" max="1" width="9.140625" style="125" customWidth="1"/>
    <col min="2" max="2" width="21.28515625" style="125" customWidth="1"/>
    <col min="3" max="3" width="64.7109375" style="125" customWidth="1"/>
    <col min="4" max="4" width="105.42578125" style="125" bestFit="1" customWidth="1"/>
    <col min="5" max="16384" width="9.140625" style="125"/>
  </cols>
  <sheetData>
    <row r="1" spans="1:4" ht="23.25">
      <c r="A1" s="123" t="s">
        <v>392</v>
      </c>
      <c r="B1" s="124"/>
      <c r="C1" s="124"/>
      <c r="D1" s="124"/>
    </row>
    <row r="2" spans="1:4">
      <c r="A2" s="124"/>
      <c r="B2" s="124"/>
      <c r="C2" s="124"/>
      <c r="D2" s="124"/>
    </row>
    <row r="3" spans="1:4" ht="21">
      <c r="A3" s="126" t="s">
        <v>387</v>
      </c>
      <c r="B3" s="124"/>
      <c r="C3" s="124"/>
      <c r="D3" s="124"/>
    </row>
    <row r="4" spans="1:4">
      <c r="A4" s="124"/>
      <c r="B4" s="124"/>
      <c r="C4" s="124"/>
      <c r="D4" s="124"/>
    </row>
    <row r="5" spans="1:4" ht="18.75">
      <c r="A5" s="127" t="s">
        <v>388</v>
      </c>
      <c r="B5" s="124"/>
      <c r="C5" s="124"/>
      <c r="D5" s="124"/>
    </row>
    <row r="6" spans="1:4">
      <c r="A6" s="124"/>
      <c r="B6" s="124" t="s">
        <v>424</v>
      </c>
      <c r="C6" s="124"/>
      <c r="D6" s="124"/>
    </row>
    <row r="7" spans="1:4">
      <c r="A7" s="124"/>
      <c r="B7" s="124"/>
      <c r="C7" s="124"/>
      <c r="D7" s="124"/>
    </row>
    <row r="8" spans="1:4" ht="18.75">
      <c r="A8" s="127" t="s">
        <v>389</v>
      </c>
      <c r="B8" s="124"/>
      <c r="C8" s="124"/>
      <c r="D8" s="124"/>
    </row>
    <row r="9" spans="1:4">
      <c r="A9" s="124"/>
      <c r="B9" s="128" t="s">
        <v>393</v>
      </c>
      <c r="C9" s="124" t="s">
        <v>394</v>
      </c>
      <c r="D9" s="124"/>
    </row>
    <row r="10" spans="1:4">
      <c r="A10" s="124"/>
      <c r="B10" s="124"/>
      <c r="C10" s="124"/>
      <c r="D10" s="124"/>
    </row>
    <row r="11" spans="1:4" ht="18.75">
      <c r="A11" s="127" t="s">
        <v>395</v>
      </c>
      <c r="B11" s="124"/>
      <c r="C11" s="124"/>
      <c r="D11" s="124"/>
    </row>
    <row r="12" spans="1:4">
      <c r="A12" s="124"/>
      <c r="B12" s="124" t="s">
        <v>416</v>
      </c>
      <c r="C12" s="124"/>
      <c r="D12" s="124"/>
    </row>
    <row r="13" spans="1:4">
      <c r="A13" s="124"/>
      <c r="B13" s="124" t="s">
        <v>401</v>
      </c>
      <c r="C13" s="124"/>
      <c r="D13" s="124"/>
    </row>
    <row r="14" spans="1:4">
      <c r="A14" s="124"/>
      <c r="B14" s="124" t="s">
        <v>408</v>
      </c>
      <c r="C14" s="124"/>
      <c r="D14" s="124"/>
    </row>
    <row r="15" spans="1:4">
      <c r="A15" s="124"/>
      <c r="B15" s="124" t="s">
        <v>390</v>
      </c>
      <c r="C15" s="124"/>
      <c r="D15" s="124"/>
    </row>
    <row r="16" spans="1:4">
      <c r="A16" s="124"/>
      <c r="B16" s="129" t="s">
        <v>396</v>
      </c>
      <c r="C16" s="124"/>
      <c r="D16" s="124"/>
    </row>
    <row r="17" spans="1:4">
      <c r="A17" s="124"/>
      <c r="B17" s="129"/>
      <c r="C17" s="124" t="s">
        <v>397</v>
      </c>
      <c r="D17" s="124"/>
    </row>
    <row r="18" spans="1:4">
      <c r="A18" s="124"/>
      <c r="B18" s="129"/>
      <c r="C18" s="130" t="s">
        <v>398</v>
      </c>
      <c r="D18" s="124"/>
    </row>
    <row r="19" spans="1:4">
      <c r="A19" s="124"/>
      <c r="B19" s="124"/>
      <c r="C19" s="130" t="s">
        <v>399</v>
      </c>
      <c r="D19" s="124"/>
    </row>
    <row r="20" spans="1:4">
      <c r="A20" s="124"/>
      <c r="B20" s="124"/>
      <c r="C20" s="130" t="s">
        <v>400</v>
      </c>
      <c r="D20" s="124"/>
    </row>
    <row r="21" spans="1:4">
      <c r="A21" s="124"/>
      <c r="B21" s="124" t="s">
        <v>402</v>
      </c>
      <c r="C21" s="130"/>
      <c r="D21" s="124"/>
    </row>
    <row r="22" spans="1:4">
      <c r="A22" s="124"/>
      <c r="B22" s="124"/>
      <c r="C22" s="124"/>
      <c r="D22" s="124"/>
    </row>
    <row r="23" spans="1:4">
      <c r="A23" s="124"/>
      <c r="B23" s="124" t="s">
        <v>403</v>
      </c>
      <c r="C23" s="124"/>
      <c r="D23" s="124"/>
    </row>
    <row r="24" spans="1:4">
      <c r="A24" s="124"/>
      <c r="B24" s="124" t="s">
        <v>404</v>
      </c>
      <c r="C24" s="124"/>
      <c r="D24" s="124"/>
    </row>
    <row r="25" spans="1:4">
      <c r="A25" s="124"/>
      <c r="B25" s="124"/>
      <c r="C25" s="131" t="s">
        <v>391</v>
      </c>
      <c r="D25" s="124"/>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ummaryBelow="0" summaryRight="0"/>
    <pageSetUpPr autoPageBreaks="0"/>
  </sheetPr>
  <dimension ref="A1:O99"/>
  <sheetViews>
    <sheetView zoomScale="85" zoomScaleNormal="85" workbookViewId="0">
      <selection activeCell="H46" sqref="H46"/>
    </sheetView>
  </sheetViews>
  <sheetFormatPr defaultRowHeight="15" outlineLevelRow="1"/>
  <cols>
    <col min="1" max="1" width="21.28515625" style="81" customWidth="1"/>
    <col min="2" max="2" width="18.85546875" style="81" bestFit="1" customWidth="1"/>
    <col min="3" max="3" width="20" style="81" customWidth="1"/>
    <col min="4" max="4" width="17.5703125" style="81" bestFit="1" customWidth="1"/>
    <col min="5" max="5" width="16.42578125" style="81" bestFit="1" customWidth="1"/>
    <col min="6" max="6" width="13.42578125" style="81" bestFit="1" customWidth="1"/>
    <col min="7" max="7" width="17.28515625" style="81" bestFit="1" customWidth="1"/>
    <col min="8" max="8" width="24.7109375" style="81" bestFit="1" customWidth="1"/>
    <col min="9" max="9" width="17.5703125" style="81" bestFit="1" customWidth="1"/>
    <col min="10" max="10" width="11.42578125" style="81" bestFit="1" customWidth="1"/>
    <col min="11" max="11" width="13.42578125" style="81" bestFit="1" customWidth="1"/>
    <col min="12" max="12" width="18.42578125" style="81" bestFit="1" customWidth="1"/>
    <col min="13" max="16384" width="9.140625" style="81"/>
  </cols>
  <sheetData>
    <row r="1" spans="1:12" ht="19.5" customHeight="1">
      <c r="A1" s="24" t="s">
        <v>278</v>
      </c>
      <c r="B1" s="24"/>
      <c r="C1" s="24"/>
      <c r="D1" s="24"/>
      <c r="E1" s="24"/>
      <c r="F1" s="24"/>
      <c r="G1" s="24"/>
      <c r="H1" s="24"/>
      <c r="I1" s="24"/>
      <c r="J1" s="24"/>
      <c r="K1" s="24"/>
      <c r="L1" s="24"/>
    </row>
    <row r="3" spans="1:12" s="84" customFormat="1" ht="18.75" collapsed="1">
      <c r="A3" s="139" t="s">
        <v>279</v>
      </c>
      <c r="B3" s="140"/>
      <c r="C3" s="82"/>
      <c r="D3" s="82"/>
      <c r="E3" s="82"/>
      <c r="F3" s="82"/>
      <c r="G3" s="82"/>
      <c r="H3" s="83"/>
      <c r="I3" s="83"/>
      <c r="J3" s="83"/>
      <c r="K3" s="83"/>
      <c r="L3" s="83"/>
    </row>
    <row r="4" spans="1:12" hidden="1" outlineLevel="1">
      <c r="B4" s="115" t="s">
        <v>280</v>
      </c>
      <c r="C4" s="115" t="s">
        <v>281</v>
      </c>
      <c r="D4" s="115" t="s">
        <v>282</v>
      </c>
      <c r="E4" s="115" t="s">
        <v>283</v>
      </c>
      <c r="F4" s="115" t="s">
        <v>284</v>
      </c>
      <c r="G4" s="115" t="s">
        <v>285</v>
      </c>
      <c r="H4" s="115" t="s">
        <v>286</v>
      </c>
      <c r="I4" s="115" t="s">
        <v>287</v>
      </c>
      <c r="J4" s="115" t="s">
        <v>288</v>
      </c>
      <c r="K4" s="115" t="s">
        <v>289</v>
      </c>
      <c r="L4" s="115" t="s">
        <v>290</v>
      </c>
    </row>
    <row r="5" spans="1:12" hidden="1" outlineLevel="1">
      <c r="A5" s="141" t="s">
        <v>338</v>
      </c>
      <c r="B5" s="85" t="s">
        <v>380</v>
      </c>
      <c r="C5" s="85" t="s">
        <v>291</v>
      </c>
      <c r="D5" s="85"/>
      <c r="E5" s="85"/>
      <c r="F5" s="85"/>
      <c r="G5" s="85"/>
      <c r="H5" s="86" t="str">
        <f>ajGetAddress(DataDictionary!AlchemyJ_DataDic)</f>
        <v>DataDictionary!A11:AJ22</v>
      </c>
      <c r="I5" s="85"/>
      <c r="J5" s="85"/>
      <c r="K5" s="85"/>
      <c r="L5" s="85"/>
    </row>
    <row r="6" spans="1:12" hidden="1" outlineLevel="1">
      <c r="A6" s="141"/>
      <c r="B6" s="85" t="s">
        <v>381</v>
      </c>
      <c r="C6" s="85" t="s">
        <v>382</v>
      </c>
      <c r="D6" s="85" t="str">
        <f>ajGetAddress(A46:B52)</f>
        <v>CRUD!A46:B52</v>
      </c>
      <c r="E6" s="85" t="s">
        <v>291</v>
      </c>
      <c r="F6" s="85"/>
      <c r="G6" s="85" t="b">
        <v>1</v>
      </c>
      <c r="H6" s="87" t="str">
        <f>ajGetAddress(DataDictionary!AlchemyJ_DataDic)</f>
        <v>DataDictionary!A11:AJ22</v>
      </c>
      <c r="I6" s="85" t="s">
        <v>292</v>
      </c>
      <c r="J6" s="85"/>
      <c r="K6" s="85"/>
      <c r="L6" s="85"/>
    </row>
    <row r="9" spans="1:12" s="84" customFormat="1" ht="18.75" collapsed="1">
      <c r="A9" s="88" t="s">
        <v>293</v>
      </c>
      <c r="B9" s="83"/>
      <c r="C9" s="83"/>
      <c r="D9" s="83"/>
      <c r="E9" s="83"/>
      <c r="F9" s="83"/>
      <c r="G9" s="83"/>
      <c r="H9" s="83"/>
      <c r="I9" s="83"/>
      <c r="J9" s="83"/>
      <c r="K9" s="83"/>
      <c r="L9" s="83"/>
    </row>
    <row r="10" spans="1:12" hidden="1" outlineLevel="1">
      <c r="B10" s="115" t="s">
        <v>368</v>
      </c>
      <c r="C10" s="115" t="s">
        <v>369</v>
      </c>
      <c r="D10" s="115" t="s">
        <v>370</v>
      </c>
      <c r="E10" s="115" t="s">
        <v>371</v>
      </c>
      <c r="F10" s="115" t="s">
        <v>372</v>
      </c>
      <c r="G10" s="115" t="s">
        <v>373</v>
      </c>
      <c r="H10" s="115" t="s">
        <v>374</v>
      </c>
      <c r="I10" s="115" t="s">
        <v>375</v>
      </c>
      <c r="J10" s="115" t="s">
        <v>233</v>
      </c>
      <c r="K10" s="115" t="s">
        <v>168</v>
      </c>
      <c r="L10" s="115" t="s">
        <v>376</v>
      </c>
    </row>
    <row r="11" spans="1:12" s="90" customFormat="1" hidden="1" outlineLevel="1">
      <c r="A11" s="91" t="s">
        <v>296</v>
      </c>
      <c r="B11" s="85" t="s">
        <v>384</v>
      </c>
      <c r="C11" s="85" t="s">
        <v>384</v>
      </c>
      <c r="D11" s="85" t="str">
        <f>ajGetAddress(G57:H57)</f>
        <v>CRUD!G57:H57</v>
      </c>
      <c r="E11" s="85"/>
      <c r="F11" s="85"/>
      <c r="G11" s="85"/>
      <c r="H11" s="89" t="str">
        <f>ajGetAddress(DataDictionary!AlchemyJ_DataDic)</f>
        <v>DataDictionary!A11:AJ22</v>
      </c>
      <c r="I11" s="85" t="s">
        <v>292</v>
      </c>
      <c r="J11" s="85"/>
      <c r="K11" s="85"/>
      <c r="L11" s="85"/>
    </row>
    <row r="12" spans="1:12" hidden="1" outlineLevel="1">
      <c r="B12" s="115" t="s">
        <v>368</v>
      </c>
      <c r="C12" s="115" t="s">
        <v>369</v>
      </c>
      <c r="D12" s="115" t="s">
        <v>370</v>
      </c>
      <c r="E12" s="115" t="s">
        <v>371</v>
      </c>
      <c r="F12" s="115" t="s">
        <v>372</v>
      </c>
      <c r="G12" s="115" t="s">
        <v>373</v>
      </c>
      <c r="H12" s="115" t="s">
        <v>374</v>
      </c>
      <c r="I12" s="115" t="s">
        <v>375</v>
      </c>
      <c r="J12" s="115" t="s">
        <v>233</v>
      </c>
      <c r="K12" s="115" t="s">
        <v>168</v>
      </c>
      <c r="L12" s="115" t="s">
        <v>376</v>
      </c>
    </row>
    <row r="13" spans="1:12" s="90" customFormat="1" hidden="1" outlineLevel="1">
      <c r="A13" s="141" t="s">
        <v>294</v>
      </c>
      <c r="B13" s="85" t="s">
        <v>383</v>
      </c>
      <c r="C13" s="85" t="s">
        <v>383</v>
      </c>
      <c r="D13" s="85" t="str">
        <f>ajGetAddress(A66:A67)</f>
        <v>CRUD!A66:A67</v>
      </c>
      <c r="E13" s="85"/>
      <c r="F13" s="85"/>
      <c r="G13" s="85"/>
      <c r="H13" s="89" t="str">
        <f>ajGetAddress(DataDictionary!AlchemyJ_DataDic)</f>
        <v>DataDictionary!A11:AJ22</v>
      </c>
      <c r="I13" s="85" t="s">
        <v>60</v>
      </c>
      <c r="J13" s="85"/>
      <c r="K13" s="85"/>
      <c r="L13" s="85"/>
    </row>
    <row r="14" spans="1:12" s="90" customFormat="1" hidden="1" outlineLevel="1">
      <c r="A14" s="141"/>
      <c r="B14" s="85" t="s">
        <v>367</v>
      </c>
      <c r="C14" s="85" t="s">
        <v>366</v>
      </c>
      <c r="D14" s="85" t="str">
        <f>ajGetAddress(A69:H99)</f>
        <v>CRUD!A69:H99</v>
      </c>
      <c r="E14" s="85" t="str">
        <f t="shared" ref="E14" si="0">C13</f>
        <v>ReadResult</v>
      </c>
      <c r="F14" s="85"/>
      <c r="G14" s="85" t="b">
        <v>1</v>
      </c>
      <c r="H14" s="89" t="str">
        <f>ajGetAddress(DataDictionary!AlchemyJ_DataDic)</f>
        <v>DataDictionary!A11:AJ22</v>
      </c>
      <c r="I14" s="85" t="s">
        <v>60</v>
      </c>
      <c r="J14" s="85"/>
      <c r="K14" s="85"/>
      <c r="L14" s="85"/>
    </row>
    <row r="15" spans="1:12" hidden="1" outlineLevel="1">
      <c r="B15" s="115" t="s">
        <v>368</v>
      </c>
      <c r="C15" s="115" t="s">
        <v>369</v>
      </c>
      <c r="D15" s="115" t="s">
        <v>370</v>
      </c>
      <c r="E15" s="115" t="s">
        <v>371</v>
      </c>
      <c r="F15" s="115" t="s">
        <v>372</v>
      </c>
      <c r="G15" s="115" t="s">
        <v>373</v>
      </c>
      <c r="H15" s="115" t="s">
        <v>374</v>
      </c>
      <c r="I15" s="115" t="s">
        <v>375</v>
      </c>
      <c r="J15" s="115" t="s">
        <v>233</v>
      </c>
      <c r="K15" s="115" t="s">
        <v>168</v>
      </c>
      <c r="L15" s="115" t="s">
        <v>376</v>
      </c>
    </row>
    <row r="16" spans="1:12" s="90" customFormat="1" hidden="1" outlineLevel="1">
      <c r="A16" s="91" t="s">
        <v>379</v>
      </c>
      <c r="B16" s="85" t="s">
        <v>385</v>
      </c>
      <c r="C16" s="85" t="s">
        <v>385</v>
      </c>
      <c r="D16" s="85" t="str">
        <f>ajGetAddress(G61:H61)</f>
        <v>CRUD!G61:H61</v>
      </c>
      <c r="E16" s="85"/>
      <c r="F16" s="85"/>
      <c r="G16" s="85"/>
      <c r="H16" s="89" t="str">
        <f>ajGetAddress(DataDictionary!AlchemyJ_DataDic)</f>
        <v>DataDictionary!A11:AJ22</v>
      </c>
      <c r="I16" s="85" t="s">
        <v>292</v>
      </c>
      <c r="J16" s="85"/>
      <c r="K16" s="85"/>
      <c r="L16" s="85"/>
    </row>
    <row r="17" spans="1:12" hidden="1" outlineLevel="1">
      <c r="B17" s="115" t="s">
        <v>368</v>
      </c>
      <c r="C17" s="115" t="s">
        <v>369</v>
      </c>
      <c r="D17" s="115" t="s">
        <v>370</v>
      </c>
      <c r="E17" s="115" t="s">
        <v>371</v>
      </c>
      <c r="F17" s="115" t="s">
        <v>372</v>
      </c>
      <c r="G17" s="115" t="s">
        <v>373</v>
      </c>
      <c r="H17" s="115" t="s">
        <v>374</v>
      </c>
      <c r="I17" s="115" t="s">
        <v>375</v>
      </c>
      <c r="J17" s="115" t="s">
        <v>233</v>
      </c>
      <c r="K17" s="115" t="s">
        <v>168</v>
      </c>
      <c r="L17" s="115" t="s">
        <v>376</v>
      </c>
    </row>
    <row r="18" spans="1:12" s="90" customFormat="1" hidden="1" outlineLevel="1">
      <c r="A18" s="91" t="s">
        <v>295</v>
      </c>
      <c r="B18" s="85" t="s">
        <v>386</v>
      </c>
      <c r="C18" s="85" t="s">
        <v>386</v>
      </c>
      <c r="D18" s="85" t="str">
        <f>ajGetAddress(G62:H62)</f>
        <v>CRUD!G62:H62</v>
      </c>
      <c r="E18" s="85"/>
      <c r="F18" s="85"/>
      <c r="G18" s="85"/>
      <c r="H18" s="89" t="str">
        <f>ajGetAddress(DataDictionary!AlchemyJ_DataDic)</f>
        <v>DataDictionary!A11:AJ22</v>
      </c>
      <c r="I18" s="85" t="s">
        <v>292</v>
      </c>
      <c r="J18" s="85"/>
      <c r="K18" s="85"/>
      <c r="L18" s="85"/>
    </row>
    <row r="19" spans="1:12" s="90" customFormat="1">
      <c r="A19" s="91"/>
    </row>
    <row r="21" spans="1:12" s="84" customFormat="1" ht="18.75" collapsed="1">
      <c r="A21" s="83" t="s">
        <v>297</v>
      </c>
      <c r="B21" s="83"/>
      <c r="C21" s="83"/>
      <c r="D21" s="83"/>
      <c r="E21" s="83"/>
      <c r="F21" s="83"/>
      <c r="G21" s="83"/>
      <c r="H21" s="83"/>
      <c r="I21" s="83"/>
      <c r="J21" s="83"/>
      <c r="K21" s="83"/>
      <c r="L21" s="83"/>
    </row>
    <row r="22" spans="1:12" s="93" customFormat="1" hidden="1" outlineLevel="1">
      <c r="A22" s="116" t="s">
        <v>298</v>
      </c>
      <c r="B22" s="116" t="s">
        <v>297</v>
      </c>
      <c r="C22" s="116" t="s">
        <v>299</v>
      </c>
      <c r="D22" s="92"/>
      <c r="E22" s="92"/>
      <c r="F22" s="92"/>
      <c r="J22" s="94"/>
      <c r="K22" s="94"/>
      <c r="L22" s="94"/>
    </row>
    <row r="23" spans="1:12" s="93" customFormat="1" hidden="1" outlineLevel="1">
      <c r="A23" s="95"/>
      <c r="B23" s="96" t="s">
        <v>407</v>
      </c>
      <c r="C23" s="97" t="str">
        <f>CONCATENATE(A23,IF(A23="", "", "."),B23)</f>
        <v>tb_product</v>
      </c>
      <c r="D23" s="92"/>
      <c r="E23" s="92"/>
      <c r="F23" s="92"/>
      <c r="J23" s="94"/>
      <c r="K23" s="94"/>
      <c r="L23" s="94"/>
    </row>
    <row r="25" spans="1:12" s="93" customFormat="1">
      <c r="A25" s="98"/>
      <c r="B25" s="98"/>
      <c r="C25" s="98"/>
      <c r="D25" s="98"/>
      <c r="E25" s="98"/>
      <c r="F25" s="98"/>
    </row>
    <row r="26" spans="1:12" s="84" customFormat="1" ht="18.75" collapsed="1">
      <c r="A26" s="99" t="s">
        <v>300</v>
      </c>
      <c r="B26" s="83"/>
      <c r="C26" s="83"/>
      <c r="D26" s="83"/>
      <c r="E26" s="83"/>
      <c r="F26" s="83"/>
      <c r="G26" s="83"/>
      <c r="H26" s="83"/>
      <c r="I26" s="83"/>
      <c r="J26" s="83"/>
      <c r="K26" s="83"/>
      <c r="L26" s="83"/>
    </row>
    <row r="27" spans="1:12" hidden="1" outlineLevel="1">
      <c r="A27" s="116" t="s">
        <v>306</v>
      </c>
      <c r="B27" s="116" t="s">
        <v>301</v>
      </c>
      <c r="C27" s="116" t="s">
        <v>307</v>
      </c>
      <c r="D27" s="116" t="s">
        <v>301</v>
      </c>
      <c r="E27" s="116" t="s">
        <v>327</v>
      </c>
      <c r="F27" s="116" t="s">
        <v>301</v>
      </c>
    </row>
    <row r="28" spans="1:12" hidden="1" outlineLevel="1">
      <c r="A28" s="100" t="str">
        <f>IF(NOT(B28=""),"=","")</f>
        <v/>
      </c>
      <c r="B28" s="101" t="str">
        <f>IF(ISBLANK(B45),"",B45)</f>
        <v/>
      </c>
      <c r="C28" s="101" t="str">
        <f>IF(NOT(D28=""),"=","")</f>
        <v/>
      </c>
      <c r="D28" s="101" t="str">
        <f>IF(ISBLANK(B46),"",B46)</f>
        <v/>
      </c>
      <c r="E28" s="101" t="str">
        <f>IF(NOT(F28=""),"like","")</f>
        <v/>
      </c>
      <c r="F28" s="102" t="str">
        <f>IF(NOT(ISBLANK(B47)),CONCATENATE("%",B47,"%"),"")</f>
        <v/>
      </c>
    </row>
    <row r="30" spans="1:12" ht="15" customHeight="1"/>
    <row r="31" spans="1:12" s="84" customFormat="1" ht="18.75" collapsed="1">
      <c r="A31" s="99" t="s">
        <v>302</v>
      </c>
      <c r="B31" s="83"/>
      <c r="C31" s="83"/>
      <c r="D31" s="83"/>
      <c r="E31" s="83"/>
      <c r="F31" s="83"/>
      <c r="G31" s="83"/>
      <c r="H31" s="83"/>
      <c r="I31" s="83"/>
      <c r="J31" s="83"/>
      <c r="K31" s="83"/>
      <c r="L31" s="83"/>
    </row>
    <row r="32" spans="1:12" s="93" customFormat="1" hidden="1" outlineLevel="1">
      <c r="A32" s="115" t="s">
        <v>303</v>
      </c>
      <c r="B32" s="115" t="s">
        <v>304</v>
      </c>
      <c r="C32" s="115" t="s">
        <v>305</v>
      </c>
      <c r="D32" s="103"/>
      <c r="H32" s="94"/>
      <c r="I32" s="94"/>
      <c r="J32" s="94"/>
      <c r="K32" s="94"/>
      <c r="L32" s="94"/>
    </row>
    <row r="33" spans="1:12" s="93" customFormat="1" hidden="1" outlineLevel="1">
      <c r="A33" s="98" t="s">
        <v>306</v>
      </c>
      <c r="B33" s="98">
        <v>1</v>
      </c>
      <c r="C33" s="98" t="s">
        <v>415</v>
      </c>
      <c r="D33" s="103"/>
      <c r="H33" s="94"/>
      <c r="I33" s="94"/>
      <c r="J33" s="94"/>
      <c r="K33" s="94"/>
      <c r="L33" s="94"/>
    </row>
    <row r="34" spans="1:12" s="93" customFormat="1" hidden="1" outlineLevel="1">
      <c r="A34" s="98"/>
      <c r="B34" s="98"/>
      <c r="C34" s="98"/>
      <c r="D34" s="103"/>
      <c r="H34" s="94"/>
      <c r="I34" s="94"/>
      <c r="J34" s="94"/>
      <c r="K34" s="94"/>
      <c r="L34" s="94"/>
    </row>
    <row r="35" spans="1:12" s="93" customFormat="1" hidden="1" outlineLevel="1">
      <c r="A35" s="104"/>
      <c r="B35" s="104"/>
      <c r="C35" s="104"/>
      <c r="D35" s="103"/>
      <c r="H35" s="94"/>
      <c r="I35" s="94"/>
      <c r="J35" s="94"/>
      <c r="K35" s="94"/>
      <c r="L35" s="94"/>
    </row>
    <row r="36" spans="1:12" s="93" customFormat="1">
      <c r="A36" s="98"/>
      <c r="B36" s="98"/>
      <c r="C36" s="98"/>
      <c r="D36" s="103"/>
      <c r="H36" s="94"/>
      <c r="I36" s="94"/>
      <c r="J36" s="94"/>
      <c r="K36" s="94"/>
      <c r="L36" s="94"/>
    </row>
    <row r="37" spans="1:12" s="93" customFormat="1">
      <c r="B37" s="103"/>
      <c r="C37" s="103"/>
      <c r="D37" s="103"/>
      <c r="H37" s="94"/>
      <c r="I37" s="94"/>
      <c r="J37" s="94"/>
      <c r="K37" s="94"/>
      <c r="L37" s="94"/>
    </row>
    <row r="38" spans="1:12" s="84" customFormat="1" ht="18.75" collapsed="1">
      <c r="A38" s="99" t="s">
        <v>308</v>
      </c>
      <c r="B38" s="83"/>
      <c r="C38" s="83"/>
      <c r="D38" s="83"/>
      <c r="E38" s="83"/>
      <c r="F38" s="83"/>
      <c r="G38" s="83"/>
      <c r="H38" s="83"/>
      <c r="I38" s="83"/>
      <c r="J38" s="83"/>
      <c r="K38" s="83"/>
      <c r="L38" s="83"/>
    </row>
    <row r="39" spans="1:12" s="93" customFormat="1" hidden="1" outlineLevel="1">
      <c r="A39" s="117" t="s">
        <v>309</v>
      </c>
      <c r="B39" s="118" t="s">
        <v>310</v>
      </c>
      <c r="C39" s="103"/>
      <c r="D39" s="103"/>
      <c r="H39" s="94"/>
      <c r="I39" s="94"/>
      <c r="J39" s="94"/>
      <c r="K39" s="94"/>
      <c r="L39" s="94"/>
    </row>
    <row r="40" spans="1:12" s="93" customFormat="1" hidden="1" outlineLevel="1">
      <c r="A40" s="105">
        <v>1</v>
      </c>
      <c r="B40" s="106">
        <v>30</v>
      </c>
      <c r="C40" s="103"/>
      <c r="D40" s="103"/>
      <c r="H40" s="94"/>
      <c r="I40" s="94"/>
      <c r="J40" s="94"/>
      <c r="K40" s="94"/>
      <c r="L40" s="94"/>
    </row>
    <row r="42" spans="1:12">
      <c r="A42" s="107"/>
      <c r="B42" s="107"/>
      <c r="C42" s="107"/>
      <c r="D42" s="107"/>
      <c r="E42" s="107"/>
      <c r="F42" s="107"/>
      <c r="G42" s="107"/>
      <c r="H42" s="107"/>
    </row>
    <row r="43" spans="1:12" s="84" customFormat="1" ht="18.75">
      <c r="A43" s="99" t="s">
        <v>192</v>
      </c>
      <c r="B43" s="83"/>
      <c r="C43" s="83"/>
      <c r="D43" s="83"/>
      <c r="E43" s="83"/>
      <c r="F43" s="83"/>
      <c r="G43" s="83"/>
      <c r="H43" s="83"/>
      <c r="I43" s="83"/>
      <c r="J43" s="83"/>
      <c r="K43" s="83"/>
      <c r="L43" s="83"/>
    </row>
    <row r="44" spans="1:12" s="93" customFormat="1" outlineLevel="1">
      <c r="A44" s="115" t="s">
        <v>303</v>
      </c>
      <c r="B44" s="79" t="s">
        <v>311</v>
      </c>
      <c r="C44" s="103"/>
      <c r="D44" s="103"/>
      <c r="H44" s="94"/>
      <c r="I44" s="94"/>
      <c r="J44" s="94"/>
      <c r="K44" s="94"/>
      <c r="L44" s="94"/>
    </row>
    <row r="45" spans="1:12" s="93" customFormat="1" outlineLevel="1">
      <c r="A45" s="98" t="s">
        <v>306</v>
      </c>
      <c r="B45" s="108"/>
      <c r="C45" s="103"/>
      <c r="D45" s="103"/>
      <c r="H45" s="94"/>
      <c r="I45" s="94"/>
      <c r="J45" s="94"/>
      <c r="K45" s="94"/>
      <c r="L45" s="94"/>
    </row>
    <row r="46" spans="1:12" s="93" customFormat="1" outlineLevel="1">
      <c r="A46" s="98" t="s">
        <v>307</v>
      </c>
      <c r="B46" s="98"/>
    </row>
    <row r="47" spans="1:12" s="93" customFormat="1" outlineLevel="1">
      <c r="A47" s="98" t="s">
        <v>327</v>
      </c>
      <c r="B47" s="98"/>
    </row>
    <row r="48" spans="1:12" s="93" customFormat="1" outlineLevel="1">
      <c r="A48" s="98" t="s">
        <v>328</v>
      </c>
      <c r="B48" s="108"/>
    </row>
    <row r="49" spans="1:15" s="93" customFormat="1" outlineLevel="1">
      <c r="A49" s="98" t="s">
        <v>329</v>
      </c>
      <c r="B49" s="98"/>
    </row>
    <row r="50" spans="1:15" s="93" customFormat="1" outlineLevel="1">
      <c r="A50" s="98" t="s">
        <v>330</v>
      </c>
      <c r="B50" s="98"/>
    </row>
    <row r="51" spans="1:15" s="93" customFormat="1" outlineLevel="1">
      <c r="A51" s="98" t="s">
        <v>331</v>
      </c>
      <c r="B51" s="98"/>
    </row>
    <row r="52" spans="1:15" s="93" customFormat="1" outlineLevel="1">
      <c r="A52" s="98" t="s">
        <v>332</v>
      </c>
      <c r="B52" s="98"/>
    </row>
    <row r="53" spans="1:15" s="93" customFormat="1">
      <c r="A53" s="98"/>
      <c r="B53" s="98"/>
      <c r="D53" s="81"/>
      <c r="E53" s="81"/>
      <c r="F53" s="81"/>
      <c r="G53" s="81"/>
      <c r="H53" s="81"/>
      <c r="I53" s="81"/>
      <c r="J53" s="81"/>
    </row>
    <row r="54" spans="1:15">
      <c r="A54" s="98"/>
      <c r="B54" s="98"/>
    </row>
    <row r="55" spans="1:15" s="84" customFormat="1" ht="18.75" collapsed="1">
      <c r="A55" s="109" t="s">
        <v>312</v>
      </c>
      <c r="B55" s="110"/>
      <c r="C55" s="82"/>
      <c r="D55" s="82"/>
      <c r="E55" s="82"/>
      <c r="F55" s="83"/>
      <c r="G55" s="83"/>
      <c r="H55" s="83"/>
      <c r="I55" s="83"/>
      <c r="J55" s="83"/>
      <c r="K55" s="83"/>
      <c r="L55" s="83"/>
    </row>
    <row r="56" spans="1:15" s="93" customFormat="1" hidden="1" outlineLevel="1">
      <c r="A56" s="115" t="s">
        <v>313</v>
      </c>
      <c r="B56" s="115" t="s">
        <v>314</v>
      </c>
      <c r="C56" s="115" t="s">
        <v>315</v>
      </c>
      <c r="D56" s="115" t="s">
        <v>316</v>
      </c>
      <c r="E56" s="115" t="s">
        <v>411</v>
      </c>
      <c r="F56" s="115" t="s">
        <v>412</v>
      </c>
      <c r="G56" s="115" t="s">
        <v>317</v>
      </c>
      <c r="H56" s="115" t="s">
        <v>312</v>
      </c>
      <c r="K56" s="94"/>
      <c r="L56" s="94"/>
      <c r="M56" s="94"/>
      <c r="N56" s="94"/>
      <c r="O56" s="94"/>
    </row>
    <row r="57" spans="1:15" s="93" customFormat="1" hidden="1" outlineLevel="1">
      <c r="A57" s="93" t="s">
        <v>323</v>
      </c>
      <c r="B57" s="111" t="b">
        <f t="shared" ref="B57:B62" si="1">(AlchemyJ_FunctionPoint=$A57)</f>
        <v>0</v>
      </c>
      <c r="C57" s="111"/>
      <c r="D57" s="111" t="b">
        <f t="shared" ref="D57:D62" si="2">OR($B57, $C57)</f>
        <v>0</v>
      </c>
      <c r="E57" s="111"/>
      <c r="F57" s="111"/>
      <c r="G57" s="111" t="s">
        <v>378</v>
      </c>
      <c r="H57" s="112" t="str">
        <f>ajCreateRec($C$23,$A46:$A52,$B46:$B52,DBSchema!AlchemyJ_DBSchema,2,FALSE,FALSE,,FALSE,D57)</f>
        <v/>
      </c>
      <c r="K57" s="94"/>
      <c r="L57" s="94"/>
      <c r="M57" s="94"/>
      <c r="N57" s="94"/>
      <c r="O57" s="94"/>
    </row>
    <row r="58" spans="1:15" s="93" customFormat="1" hidden="1" outlineLevel="1">
      <c r="A58" s="133" t="s">
        <v>409</v>
      </c>
      <c r="B58" s="134" t="b">
        <f>(AlchemyJ_FunctionPoint=$A57)</f>
        <v>0</v>
      </c>
      <c r="C58" s="134"/>
      <c r="D58" s="134" t="b">
        <f>OR($B58, $C58)</f>
        <v>0</v>
      </c>
      <c r="E58" s="134"/>
      <c r="F58" s="134"/>
      <c r="G58" s="134" t="s">
        <v>333</v>
      </c>
      <c r="H58" s="135" t="str">
        <f>ajCountRec($C$23,,,DBSchema!AlchemyJ_DBSchema,,D58)</f>
        <v/>
      </c>
      <c r="I58" s="112"/>
      <c r="K58" s="94"/>
      <c r="L58" s="94"/>
      <c r="M58" s="94"/>
      <c r="N58" s="94"/>
      <c r="O58" s="94"/>
    </row>
    <row r="59" spans="1:15" s="93" customFormat="1" hidden="1" outlineLevel="1">
      <c r="A59" s="133" t="s">
        <v>410</v>
      </c>
      <c r="B59" s="134" t="b">
        <f>(AlchemyJ_FunctionPoint=$A57)</f>
        <v>0</v>
      </c>
      <c r="C59" s="134" t="b">
        <f>AND(D57,D58,_xlfn.NUMBERVALUE(H57)+_xlfn.NUMBERVALUE(H58)&gt;100)</f>
        <v>0</v>
      </c>
      <c r="D59" s="134" t="b">
        <f>AND($B59, $C59)</f>
        <v>0</v>
      </c>
      <c r="E59" s="136" t="str">
        <f>CONCATENATE("DELETE FROM ",$C$23," WHERE PROD_ID IN (SELECT PROD_ID FROM (",
"SELECT PROD_ID FROM ",$C$23," ORDER BY PROD_ID ASC LIMIT ?) T)")</f>
        <v>DELETE FROM tb_product WHERE PROD_ID IN (SELECT PROD_ID FROM (SELECT PROD_ID FROM tb_product ORDER BY PROD_ID ASC LIMIT ?) T)</v>
      </c>
      <c r="F59" s="136" t="str">
        <f>CONCATENATE("ROWNUM", AlchemyJ_Parameter_Type_Separator, _xlfn.NUMBERVALUE(H57)+_xlfn.NUMBERVALUE(H58)-100, AlchemyJ_Parameter_Type_Separator, "INT")</f>
        <v>ROWNUM-##--100-##-INT</v>
      </c>
      <c r="G59" s="134" t="s">
        <v>378</v>
      </c>
      <c r="H59" s="135" t="str">
        <f>ajExecuteSql(CRUD_Result_tbl[[#This Row],[SQL Statement]],CRUD_Result_tbl[[#This Row],[Parameters]],2,,,,,CRUD_Result_tbl[[#This Row],[Run]])</f>
        <v/>
      </c>
      <c r="K59" s="94"/>
      <c r="L59" s="94"/>
      <c r="M59" s="94"/>
      <c r="N59" s="94"/>
      <c r="O59" s="94"/>
    </row>
    <row r="60" spans="1:15" s="93" customFormat="1" hidden="1" outlineLevel="1">
      <c r="A60" s="93" t="s">
        <v>324</v>
      </c>
      <c r="B60" s="111" t="b">
        <f t="shared" si="1"/>
        <v>0</v>
      </c>
      <c r="C60" s="111"/>
      <c r="D60" s="111" t="b">
        <f t="shared" si="2"/>
        <v>0</v>
      </c>
      <c r="E60" s="111"/>
      <c r="F60" s="111"/>
      <c r="G60" s="111" t="s">
        <v>377</v>
      </c>
      <c r="H60" s="93" t="str">
        <f>IF(D60,"Refer to the Read Result table below.","")</f>
        <v/>
      </c>
      <c r="K60" s="94"/>
      <c r="L60" s="94"/>
      <c r="M60" s="94"/>
      <c r="N60" s="94"/>
      <c r="O60" s="94"/>
    </row>
    <row r="61" spans="1:15" s="93" customFormat="1" hidden="1" outlineLevel="1">
      <c r="A61" s="93" t="s">
        <v>325</v>
      </c>
      <c r="B61" s="111" t="b">
        <f t="shared" si="1"/>
        <v>0</v>
      </c>
      <c r="C61" s="111"/>
      <c r="D61" s="111" t="b">
        <f t="shared" si="2"/>
        <v>0</v>
      </c>
      <c r="E61" s="111"/>
      <c r="F61" s="111"/>
      <c r="G61" s="111" t="s">
        <v>378</v>
      </c>
      <c r="H61" s="93" t="str">
        <f>ajUpdateRec($C$23,A45:A52,B45:B52,,,DBSchema!AlchemyJ_DBSchema,,D61)</f>
        <v/>
      </c>
      <c r="K61" s="94"/>
      <c r="L61" s="94"/>
      <c r="M61" s="94"/>
      <c r="N61" s="94"/>
      <c r="O61" s="94"/>
    </row>
    <row r="62" spans="1:15" s="93" customFormat="1" hidden="1" outlineLevel="1">
      <c r="A62" s="93" t="s">
        <v>326</v>
      </c>
      <c r="B62" s="111" t="b">
        <f t="shared" si="1"/>
        <v>0</v>
      </c>
      <c r="C62" s="111"/>
      <c r="D62" s="111" t="b">
        <f t="shared" si="2"/>
        <v>0</v>
      </c>
      <c r="E62" s="111"/>
      <c r="F62" s="111"/>
      <c r="G62" s="111" t="s">
        <v>378</v>
      </c>
      <c r="H62" s="112" t="str">
        <f>ajDeleteRec($C$23,CRUD_Input_tbl[Data Name],CRUD_Input_tbl[Input Value],,,DBSchema!AlchemyJ_DBSchema,,D62)</f>
        <v/>
      </c>
      <c r="K62" s="94"/>
      <c r="L62" s="94"/>
      <c r="M62" s="94"/>
      <c r="N62" s="94"/>
      <c r="O62" s="94"/>
    </row>
    <row r="63" spans="1:15" s="93" customFormat="1">
      <c r="B63" s="103"/>
      <c r="C63" s="103"/>
      <c r="D63" s="103"/>
      <c r="H63" s="94"/>
      <c r="I63" s="94"/>
      <c r="J63" s="94"/>
      <c r="K63" s="94"/>
      <c r="L63" s="94"/>
    </row>
    <row r="64" spans="1:15" s="93" customFormat="1">
      <c r="B64" s="103"/>
      <c r="C64" s="103"/>
      <c r="D64" s="103"/>
      <c r="H64" s="94"/>
      <c r="I64" s="94"/>
      <c r="J64" s="94"/>
      <c r="K64" s="94"/>
      <c r="L64" s="94"/>
    </row>
    <row r="65" spans="1:12" s="84" customFormat="1" ht="18.75" collapsed="1">
      <c r="A65" s="99" t="s">
        <v>318</v>
      </c>
      <c r="B65" s="83"/>
      <c r="C65" s="83"/>
      <c r="D65" s="83"/>
      <c r="E65" s="83"/>
      <c r="F65" s="83"/>
      <c r="G65" s="83"/>
      <c r="H65" s="83"/>
      <c r="I65" s="83"/>
      <c r="J65" s="83"/>
      <c r="K65" s="83"/>
      <c r="L65" s="83"/>
    </row>
    <row r="66" spans="1:12" s="93" customFormat="1" ht="15" hidden="1" customHeight="1" outlineLevel="1">
      <c r="A66" s="116" t="s">
        <v>333</v>
      </c>
      <c r="C66" s="103"/>
      <c r="D66" s="103"/>
      <c r="H66" s="94"/>
      <c r="I66" s="94"/>
      <c r="J66" s="94"/>
      <c r="K66" s="94"/>
      <c r="L66" s="94"/>
    </row>
    <row r="67" spans="1:12" s="93" customFormat="1" ht="15" hidden="1" customHeight="1" outlineLevel="1">
      <c r="A67" s="120" t="str">
        <f>ajCountRec($B$23,2,CRUD_Filter_Condition,DBSchema!AlchemyJ_DBSchema,,D60)</f>
        <v/>
      </c>
      <c r="C67" s="103"/>
      <c r="D67" s="103"/>
      <c r="H67" s="94"/>
      <c r="I67" s="94"/>
      <c r="J67" s="94"/>
      <c r="K67" s="94"/>
      <c r="L67" s="94"/>
    </row>
    <row r="68" spans="1:12" ht="15" hidden="1" customHeight="1" outlineLevel="1"/>
    <row r="69" spans="1:12" ht="20.100000000000001" hidden="1" customHeight="1" outlineLevel="1">
      <c r="A69" s="116" t="s">
        <v>306</v>
      </c>
      <c r="B69" s="116" t="s">
        <v>307</v>
      </c>
      <c r="C69" s="116" t="s">
        <v>327</v>
      </c>
      <c r="D69" s="116" t="s">
        <v>328</v>
      </c>
      <c r="E69" s="116" t="s">
        <v>329</v>
      </c>
      <c r="F69" s="116" t="s">
        <v>330</v>
      </c>
      <c r="G69" s="116" t="s">
        <v>331</v>
      </c>
      <c r="H69" s="116" t="s">
        <v>332</v>
      </c>
    </row>
    <row r="70" spans="1:12" ht="15" hidden="1" customHeight="1" outlineLevel="1">
      <c r="A70" s="119" t="str">
        <f t="array" ref="A70:H99">ajReadRec($C$23,A69:H69,2,CRUD_Filter_Condition,CRUD_Sorting_tbl[#All],$A$40,$B$40,DBSchema!AlchemyJ_DBSchema,FALSE,FALSE,,FALSE,$D$60)</f>
        <v/>
      </c>
      <c r="B70" s="119" t="str">
        <v/>
      </c>
      <c r="C70" s="119" t="str">
        <v/>
      </c>
      <c r="D70" s="119" t="str">
        <v/>
      </c>
      <c r="E70" s="119" t="str">
        <v/>
      </c>
      <c r="F70" s="119" t="str">
        <v/>
      </c>
      <c r="G70" s="119" t="str">
        <v/>
      </c>
      <c r="H70" s="119" t="str">
        <v/>
      </c>
    </row>
    <row r="71" spans="1:12" ht="15" hidden="1" customHeight="1" outlineLevel="1">
      <c r="A71" s="119" t="str">
        <v/>
      </c>
      <c r="B71" s="119" t="str">
        <v/>
      </c>
      <c r="C71" s="119" t="str">
        <v/>
      </c>
      <c r="D71" s="119" t="str">
        <v/>
      </c>
      <c r="E71" s="119" t="str">
        <v/>
      </c>
      <c r="F71" s="119" t="str">
        <v/>
      </c>
      <c r="G71" s="119" t="str">
        <v/>
      </c>
      <c r="H71" s="119" t="str">
        <v/>
      </c>
    </row>
    <row r="72" spans="1:12" ht="15" hidden="1" customHeight="1" outlineLevel="1">
      <c r="A72" s="119" t="str">
        <v/>
      </c>
      <c r="B72" s="119" t="str">
        <v/>
      </c>
      <c r="C72" s="119" t="str">
        <v/>
      </c>
      <c r="D72" s="119" t="str">
        <v/>
      </c>
      <c r="E72" s="119" t="str">
        <v/>
      </c>
      <c r="F72" s="119" t="str">
        <v/>
      </c>
      <c r="G72" s="119" t="str">
        <v/>
      </c>
      <c r="H72" s="119" t="str">
        <v/>
      </c>
    </row>
    <row r="73" spans="1:12" ht="15" hidden="1" customHeight="1" outlineLevel="1">
      <c r="A73" s="119" t="str">
        <v/>
      </c>
      <c r="B73" s="119" t="str">
        <v/>
      </c>
      <c r="C73" s="119" t="str">
        <v/>
      </c>
      <c r="D73" s="119" t="str">
        <v/>
      </c>
      <c r="E73" s="119" t="str">
        <v/>
      </c>
      <c r="F73" s="119" t="str">
        <v/>
      </c>
      <c r="G73" s="119" t="str">
        <v/>
      </c>
      <c r="H73" s="119" t="str">
        <v/>
      </c>
    </row>
    <row r="74" spans="1:12" ht="15" hidden="1" customHeight="1" outlineLevel="1">
      <c r="A74" s="119" t="str">
        <v/>
      </c>
      <c r="B74" s="119" t="str">
        <v/>
      </c>
      <c r="C74" s="119" t="str">
        <v/>
      </c>
      <c r="D74" s="119" t="str">
        <v/>
      </c>
      <c r="E74" s="119" t="str">
        <v/>
      </c>
      <c r="F74" s="119" t="str">
        <v/>
      </c>
      <c r="G74" s="119" t="str">
        <v/>
      </c>
      <c r="H74" s="119" t="str">
        <v/>
      </c>
    </row>
    <row r="75" spans="1:12" ht="15" hidden="1" customHeight="1" outlineLevel="1">
      <c r="A75" s="119" t="str">
        <v/>
      </c>
      <c r="B75" s="119" t="str">
        <v/>
      </c>
      <c r="C75" s="119" t="str">
        <v/>
      </c>
      <c r="D75" s="119" t="str">
        <v/>
      </c>
      <c r="E75" s="119" t="str">
        <v/>
      </c>
      <c r="F75" s="119" t="str">
        <v/>
      </c>
      <c r="G75" s="119" t="str">
        <v/>
      </c>
      <c r="H75" s="119" t="str">
        <v/>
      </c>
    </row>
    <row r="76" spans="1:12" ht="15" hidden="1" customHeight="1" outlineLevel="1">
      <c r="A76" s="119" t="str">
        <v/>
      </c>
      <c r="B76" s="119" t="str">
        <v/>
      </c>
      <c r="C76" s="119" t="str">
        <v/>
      </c>
      <c r="D76" s="119" t="str">
        <v/>
      </c>
      <c r="E76" s="119" t="str">
        <v/>
      </c>
      <c r="F76" s="119" t="str">
        <v/>
      </c>
      <c r="G76" s="119" t="str">
        <v/>
      </c>
      <c r="H76" s="119" t="str">
        <v/>
      </c>
    </row>
    <row r="77" spans="1:12" ht="15" hidden="1" customHeight="1" outlineLevel="1">
      <c r="A77" s="119" t="str">
        <v/>
      </c>
      <c r="B77" s="119" t="str">
        <v/>
      </c>
      <c r="C77" s="119" t="str">
        <v/>
      </c>
      <c r="D77" s="119" t="str">
        <v/>
      </c>
      <c r="E77" s="119" t="str">
        <v/>
      </c>
      <c r="F77" s="119" t="str">
        <v/>
      </c>
      <c r="G77" s="119" t="str">
        <v/>
      </c>
      <c r="H77" s="119" t="str">
        <v/>
      </c>
    </row>
    <row r="78" spans="1:12" ht="15" hidden="1" customHeight="1" outlineLevel="1">
      <c r="A78" s="119" t="str">
        <v/>
      </c>
      <c r="B78" s="119" t="str">
        <v/>
      </c>
      <c r="C78" s="119" t="str">
        <v/>
      </c>
      <c r="D78" s="119" t="str">
        <v/>
      </c>
      <c r="E78" s="119" t="str">
        <v/>
      </c>
      <c r="F78" s="119" t="str">
        <v/>
      </c>
      <c r="G78" s="119" t="str">
        <v/>
      </c>
      <c r="H78" s="119" t="str">
        <v/>
      </c>
    </row>
    <row r="79" spans="1:12" ht="15" hidden="1" customHeight="1" outlineLevel="1">
      <c r="A79" s="119" t="str">
        <v/>
      </c>
      <c r="B79" s="119" t="str">
        <v/>
      </c>
      <c r="C79" s="119" t="str">
        <v/>
      </c>
      <c r="D79" s="119" t="str">
        <v/>
      </c>
      <c r="E79" s="119" t="str">
        <v/>
      </c>
      <c r="F79" s="119" t="str">
        <v/>
      </c>
      <c r="G79" s="119" t="str">
        <v/>
      </c>
      <c r="H79" s="119" t="str">
        <v/>
      </c>
    </row>
    <row r="80" spans="1:12" ht="15" hidden="1" customHeight="1" outlineLevel="1">
      <c r="A80" s="119" t="str">
        <v/>
      </c>
      <c r="B80" s="119" t="str">
        <v/>
      </c>
      <c r="C80" s="119" t="str">
        <v/>
      </c>
      <c r="D80" s="119" t="str">
        <v/>
      </c>
      <c r="E80" s="119" t="str">
        <v/>
      </c>
      <c r="F80" s="119" t="str">
        <v/>
      </c>
      <c r="G80" s="119" t="str">
        <v/>
      </c>
      <c r="H80" s="119" t="str">
        <v/>
      </c>
    </row>
    <row r="81" spans="1:8" ht="15" hidden="1" customHeight="1" outlineLevel="1">
      <c r="A81" s="119" t="str">
        <v/>
      </c>
      <c r="B81" s="119" t="str">
        <v/>
      </c>
      <c r="C81" s="119" t="str">
        <v/>
      </c>
      <c r="D81" s="119" t="str">
        <v/>
      </c>
      <c r="E81" s="119" t="str">
        <v/>
      </c>
      <c r="F81" s="119" t="str">
        <v/>
      </c>
      <c r="G81" s="119" t="str">
        <v/>
      </c>
      <c r="H81" s="119" t="str">
        <v/>
      </c>
    </row>
    <row r="82" spans="1:8" ht="15" hidden="1" customHeight="1" outlineLevel="1">
      <c r="A82" s="119" t="str">
        <v/>
      </c>
      <c r="B82" s="119" t="str">
        <v/>
      </c>
      <c r="C82" s="119" t="str">
        <v/>
      </c>
      <c r="D82" s="119" t="str">
        <v/>
      </c>
      <c r="E82" s="119" t="str">
        <v/>
      </c>
      <c r="F82" s="119" t="str">
        <v/>
      </c>
      <c r="G82" s="119" t="str">
        <v/>
      </c>
      <c r="H82" s="119" t="str">
        <v/>
      </c>
    </row>
    <row r="83" spans="1:8" ht="15" hidden="1" customHeight="1" outlineLevel="1">
      <c r="A83" s="119" t="str">
        <v/>
      </c>
      <c r="B83" s="119" t="str">
        <v/>
      </c>
      <c r="C83" s="119" t="str">
        <v/>
      </c>
      <c r="D83" s="119" t="str">
        <v/>
      </c>
      <c r="E83" s="119" t="str">
        <v/>
      </c>
      <c r="F83" s="119" t="str">
        <v/>
      </c>
      <c r="G83" s="119" t="str">
        <v/>
      </c>
      <c r="H83" s="119" t="str">
        <v/>
      </c>
    </row>
    <row r="84" spans="1:8" ht="15" hidden="1" customHeight="1" outlineLevel="1">
      <c r="A84" s="119" t="str">
        <v/>
      </c>
      <c r="B84" s="119" t="str">
        <v/>
      </c>
      <c r="C84" s="119" t="str">
        <v/>
      </c>
      <c r="D84" s="119" t="str">
        <v/>
      </c>
      <c r="E84" s="119" t="str">
        <v/>
      </c>
      <c r="F84" s="119" t="str">
        <v/>
      </c>
      <c r="G84" s="119" t="str">
        <v/>
      </c>
      <c r="H84" s="119" t="str">
        <v/>
      </c>
    </row>
    <row r="85" spans="1:8" ht="15" hidden="1" customHeight="1" outlineLevel="1">
      <c r="A85" s="119" t="str">
        <v/>
      </c>
      <c r="B85" s="119" t="str">
        <v/>
      </c>
      <c r="C85" s="119" t="str">
        <v/>
      </c>
      <c r="D85" s="119" t="str">
        <v/>
      </c>
      <c r="E85" s="119" t="str">
        <v/>
      </c>
      <c r="F85" s="119" t="str">
        <v/>
      </c>
      <c r="G85" s="119" t="str">
        <v/>
      </c>
      <c r="H85" s="119" t="str">
        <v/>
      </c>
    </row>
    <row r="86" spans="1:8" ht="15" hidden="1" customHeight="1" outlineLevel="1">
      <c r="A86" s="119" t="str">
        <v/>
      </c>
      <c r="B86" s="119" t="str">
        <v/>
      </c>
      <c r="C86" s="119" t="str">
        <v/>
      </c>
      <c r="D86" s="119" t="str">
        <v/>
      </c>
      <c r="E86" s="119" t="str">
        <v/>
      </c>
      <c r="F86" s="119" t="str">
        <v/>
      </c>
      <c r="G86" s="119" t="str">
        <v/>
      </c>
      <c r="H86" s="119" t="str">
        <v/>
      </c>
    </row>
    <row r="87" spans="1:8" ht="15" hidden="1" customHeight="1" outlineLevel="1">
      <c r="A87" s="119" t="str">
        <v/>
      </c>
      <c r="B87" s="119" t="str">
        <v/>
      </c>
      <c r="C87" s="119" t="str">
        <v/>
      </c>
      <c r="D87" s="119" t="str">
        <v/>
      </c>
      <c r="E87" s="119" t="str">
        <v/>
      </c>
      <c r="F87" s="119" t="str">
        <v/>
      </c>
      <c r="G87" s="119" t="str">
        <v/>
      </c>
      <c r="H87" s="119" t="str">
        <v/>
      </c>
    </row>
    <row r="88" spans="1:8" ht="15" hidden="1" customHeight="1" outlineLevel="1">
      <c r="A88" s="119" t="str">
        <v/>
      </c>
      <c r="B88" s="119" t="str">
        <v/>
      </c>
      <c r="C88" s="119" t="str">
        <v/>
      </c>
      <c r="D88" s="119" t="str">
        <v/>
      </c>
      <c r="E88" s="119" t="str">
        <v/>
      </c>
      <c r="F88" s="119" t="str">
        <v/>
      </c>
      <c r="G88" s="119" t="str">
        <v/>
      </c>
      <c r="H88" s="119" t="str">
        <v/>
      </c>
    </row>
    <row r="89" spans="1:8" ht="15" hidden="1" customHeight="1" outlineLevel="1">
      <c r="A89" s="119" t="str">
        <v/>
      </c>
      <c r="B89" s="119" t="str">
        <v/>
      </c>
      <c r="C89" s="119" t="str">
        <v/>
      </c>
      <c r="D89" s="119" t="str">
        <v/>
      </c>
      <c r="E89" s="119" t="str">
        <v/>
      </c>
      <c r="F89" s="119" t="str">
        <v/>
      </c>
      <c r="G89" s="119" t="str">
        <v/>
      </c>
      <c r="H89" s="119" t="str">
        <v/>
      </c>
    </row>
    <row r="90" spans="1:8" ht="15" hidden="1" customHeight="1" outlineLevel="1">
      <c r="A90" s="119" t="str">
        <v/>
      </c>
      <c r="B90" s="119" t="str">
        <v/>
      </c>
      <c r="C90" s="119" t="str">
        <v/>
      </c>
      <c r="D90" s="119" t="str">
        <v/>
      </c>
      <c r="E90" s="119" t="str">
        <v/>
      </c>
      <c r="F90" s="119" t="str">
        <v/>
      </c>
      <c r="G90" s="119" t="str">
        <v/>
      </c>
      <c r="H90" s="119" t="str">
        <v/>
      </c>
    </row>
    <row r="91" spans="1:8" ht="15" hidden="1" customHeight="1" outlineLevel="1">
      <c r="A91" s="119" t="str">
        <v/>
      </c>
      <c r="B91" s="119" t="str">
        <v/>
      </c>
      <c r="C91" s="119" t="str">
        <v/>
      </c>
      <c r="D91" s="119" t="str">
        <v/>
      </c>
      <c r="E91" s="119" t="str">
        <v/>
      </c>
      <c r="F91" s="119" t="str">
        <v/>
      </c>
      <c r="G91" s="119" t="str">
        <v/>
      </c>
      <c r="H91" s="119" t="str">
        <v/>
      </c>
    </row>
    <row r="92" spans="1:8" ht="15" hidden="1" customHeight="1" outlineLevel="1">
      <c r="A92" s="119" t="str">
        <v/>
      </c>
      <c r="B92" s="119" t="str">
        <v/>
      </c>
      <c r="C92" s="119" t="str">
        <v/>
      </c>
      <c r="D92" s="119" t="str">
        <v/>
      </c>
      <c r="E92" s="119" t="str">
        <v/>
      </c>
      <c r="F92" s="119" t="str">
        <v/>
      </c>
      <c r="G92" s="119" t="str">
        <v/>
      </c>
      <c r="H92" s="119" t="str">
        <v/>
      </c>
    </row>
    <row r="93" spans="1:8" ht="15" hidden="1" customHeight="1" outlineLevel="1">
      <c r="A93" s="119" t="str">
        <v/>
      </c>
      <c r="B93" s="119" t="str">
        <v/>
      </c>
      <c r="C93" s="119" t="str">
        <v/>
      </c>
      <c r="D93" s="119" t="str">
        <v/>
      </c>
      <c r="E93" s="119" t="str">
        <v/>
      </c>
      <c r="F93" s="119" t="str">
        <v/>
      </c>
      <c r="G93" s="119" t="str">
        <v/>
      </c>
      <c r="H93" s="119" t="str">
        <v/>
      </c>
    </row>
    <row r="94" spans="1:8" ht="15" hidden="1" customHeight="1" outlineLevel="1">
      <c r="A94" s="119" t="str">
        <v/>
      </c>
      <c r="B94" s="119" t="str">
        <v/>
      </c>
      <c r="C94" s="119" t="str">
        <v/>
      </c>
      <c r="D94" s="119" t="str">
        <v/>
      </c>
      <c r="E94" s="119" t="str">
        <v/>
      </c>
      <c r="F94" s="119" t="str">
        <v/>
      </c>
      <c r="G94" s="119" t="str">
        <v/>
      </c>
      <c r="H94" s="119" t="str">
        <v/>
      </c>
    </row>
    <row r="95" spans="1:8" ht="15" hidden="1" customHeight="1" outlineLevel="1">
      <c r="A95" s="119" t="str">
        <v/>
      </c>
      <c r="B95" s="119" t="str">
        <v/>
      </c>
      <c r="C95" s="119" t="str">
        <v/>
      </c>
      <c r="D95" s="119" t="str">
        <v/>
      </c>
      <c r="E95" s="119" t="str">
        <v/>
      </c>
      <c r="F95" s="119" t="str">
        <v/>
      </c>
      <c r="G95" s="119" t="str">
        <v/>
      </c>
      <c r="H95" s="119" t="str">
        <v/>
      </c>
    </row>
    <row r="96" spans="1:8" ht="15" hidden="1" customHeight="1" outlineLevel="1">
      <c r="A96" s="119" t="str">
        <v/>
      </c>
      <c r="B96" s="119" t="str">
        <v/>
      </c>
      <c r="C96" s="119" t="str">
        <v/>
      </c>
      <c r="D96" s="119" t="str">
        <v/>
      </c>
      <c r="E96" s="119" t="str">
        <v/>
      </c>
      <c r="F96" s="119" t="str">
        <v/>
      </c>
      <c r="G96" s="119" t="str">
        <v/>
      </c>
      <c r="H96" s="119" t="str">
        <v/>
      </c>
    </row>
    <row r="97" spans="1:8" ht="15" hidden="1" customHeight="1" outlineLevel="1">
      <c r="A97" s="119" t="str">
        <v/>
      </c>
      <c r="B97" s="119" t="str">
        <v/>
      </c>
      <c r="C97" s="119" t="str">
        <v/>
      </c>
      <c r="D97" s="119" t="str">
        <v/>
      </c>
      <c r="E97" s="119" t="str">
        <v/>
      </c>
      <c r="F97" s="119" t="str">
        <v/>
      </c>
      <c r="G97" s="119" t="str">
        <v/>
      </c>
      <c r="H97" s="119" t="str">
        <v/>
      </c>
    </row>
    <row r="98" spans="1:8" ht="15" hidden="1" customHeight="1" outlineLevel="1">
      <c r="A98" s="119" t="str">
        <v/>
      </c>
      <c r="B98" s="119" t="str">
        <v/>
      </c>
      <c r="C98" s="119" t="str">
        <v/>
      </c>
      <c r="D98" s="119" t="str">
        <v/>
      </c>
      <c r="E98" s="119" t="str">
        <v/>
      </c>
      <c r="F98" s="119" t="str">
        <v/>
      </c>
      <c r="G98" s="119" t="str">
        <v/>
      </c>
      <c r="H98" s="119" t="str">
        <v/>
      </c>
    </row>
    <row r="99" spans="1:8" ht="15" hidden="1" customHeight="1" outlineLevel="1">
      <c r="A99" s="119" t="str">
        <v/>
      </c>
      <c r="B99" s="119" t="str">
        <v/>
      </c>
      <c r="C99" s="119" t="str">
        <v/>
      </c>
      <c r="D99" s="119" t="str">
        <v/>
      </c>
      <c r="E99" s="119" t="str">
        <v/>
      </c>
      <c r="F99" s="119" t="str">
        <v/>
      </c>
      <c r="G99" s="119" t="str">
        <v/>
      </c>
      <c r="H99" s="119" t="str">
        <v/>
      </c>
    </row>
  </sheetData>
  <mergeCells count="3">
    <mergeCell ref="A3:B3"/>
    <mergeCell ref="A5:A6"/>
    <mergeCell ref="A13:A14"/>
  </mergeCells>
  <dataValidations disablePrompts="1" count="3">
    <dataValidation type="list" allowBlank="1" showInputMessage="1" showErrorMessage="1" sqref="G5:G6 J5:J6 G13:G14 J13:J14 G16 J16 G18 J18 G11 J11">
      <formula1>"TRUE, FALSE"</formula1>
    </dataValidation>
    <dataValidation type="list" allowBlank="1" showInputMessage="1" showErrorMessage="1" sqref="I5:I6 I13:I14 I16 I18 I11">
      <formula1>"top, left"</formula1>
    </dataValidation>
    <dataValidation type="list" allowBlank="1" showInputMessage="1" showErrorMessage="1" sqref="C33:C35">
      <formula1>"asc, desc"</formula1>
    </dataValidation>
  </dataValidations>
  <pageMargins left="0.7" right="0.7" top="0.75" bottom="0.75" header="0.3" footer="0.3"/>
  <pageSetup paperSize="9" orientation="portrait" r:id="rId1"/>
  <ignoredErrors>
    <ignoredError sqref="B28" formula="1"/>
    <ignoredError sqref="D6 B58:B59 D59" calculatedColumn="1"/>
    <ignoredError sqref="H57" formulaRange="1"/>
  </ignoredErrors>
  <tableParts count="8">
    <tablePart r:id="rId2"/>
    <tablePart r:id="rId3"/>
    <tablePart r:id="rId4"/>
    <tablePart r:id="rId5"/>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_C01_RA">
    <tabColor rgb="FFDEFEB4"/>
    <outlinePr summaryBelow="0" summaryRight="0"/>
  </sheetPr>
  <dimension ref="A1:D113"/>
  <sheetViews>
    <sheetView topLeftCell="A16" zoomScale="85" zoomScaleNormal="85" workbookViewId="0">
      <selection activeCell="C38" sqref="C38"/>
    </sheetView>
  </sheetViews>
  <sheetFormatPr defaultColWidth="10.42578125" defaultRowHeight="15" outlineLevelRow="1"/>
  <cols>
    <col min="1" max="1" width="52.5703125" style="26" bestFit="1" customWidth="1"/>
    <col min="2" max="2" width="37.5703125" style="26" bestFit="1" customWidth="1"/>
    <col min="3" max="3" width="69.85546875" style="26" bestFit="1" customWidth="1"/>
    <col min="4" max="4" width="19.7109375" style="26" customWidth="1"/>
    <col min="5" max="16384" width="10.42578125" style="26"/>
  </cols>
  <sheetData>
    <row r="1" spans="1:4" ht="21">
      <c r="A1" s="24" t="s">
        <v>61</v>
      </c>
      <c r="B1" s="25"/>
      <c r="C1" s="25"/>
      <c r="D1" s="25"/>
    </row>
    <row r="3" spans="1:4" ht="18.75">
      <c r="A3" s="1" t="s">
        <v>62</v>
      </c>
      <c r="B3" s="27"/>
      <c r="C3" s="27"/>
      <c r="D3" s="3"/>
    </row>
    <row r="4" spans="1:4" ht="15.75" outlineLevel="1" thickBot="1">
      <c r="A4" s="28" t="s">
        <v>5</v>
      </c>
      <c r="B4" s="28" t="s">
        <v>45</v>
      </c>
      <c r="C4" s="28" t="s">
        <v>63</v>
      </c>
    </row>
    <row r="5" spans="1:4" outlineLevel="1">
      <c r="A5" s="26" t="s">
        <v>64</v>
      </c>
      <c r="B5" s="26" t="s">
        <v>417</v>
      </c>
    </row>
    <row r="6" spans="1:4" outlineLevel="1">
      <c r="A6" s="26" t="s">
        <v>65</v>
      </c>
      <c r="B6" s="26" t="s">
        <v>418</v>
      </c>
    </row>
    <row r="7" spans="1:4" outlineLevel="1">
      <c r="A7" s="29" t="s">
        <v>66</v>
      </c>
      <c r="B7" s="30" t="s">
        <v>67</v>
      </c>
    </row>
    <row r="8" spans="1:4">
      <c r="A8" s="29"/>
      <c r="B8" s="29"/>
      <c r="C8" s="31"/>
    </row>
    <row r="10" spans="1:4" ht="18.75">
      <c r="A10" s="1" t="s">
        <v>68</v>
      </c>
      <c r="B10" s="27"/>
      <c r="C10" s="27"/>
      <c r="D10" s="3"/>
    </row>
    <row r="11" spans="1:4" ht="15.75" outlineLevel="1" thickBot="1">
      <c r="A11" s="28" t="s">
        <v>69</v>
      </c>
    </row>
    <row r="12" spans="1:4" outlineLevel="1">
      <c r="A12" s="26" t="s">
        <v>276</v>
      </c>
    </row>
    <row r="13" spans="1:4" outlineLevel="1"/>
    <row r="14" spans="1:4" outlineLevel="1"/>
    <row r="15" spans="1:4" outlineLevel="1"/>
    <row r="16" spans="1:4" outlineLevel="1"/>
    <row r="19" spans="1:4" ht="18.75">
      <c r="A19" s="1" t="s">
        <v>70</v>
      </c>
      <c r="B19" s="27"/>
      <c r="C19" s="27"/>
      <c r="D19" s="3"/>
    </row>
    <row r="20" spans="1:4" ht="15.75" outlineLevel="1" thickBot="1">
      <c r="A20" s="28" t="s">
        <v>5</v>
      </c>
      <c r="B20" s="28" t="s">
        <v>45</v>
      </c>
      <c r="C20" s="28" t="s">
        <v>71</v>
      </c>
    </row>
    <row r="21" spans="1:4" outlineLevel="1">
      <c r="A21" s="26" t="s">
        <v>72</v>
      </c>
      <c r="B21" s="26" t="s">
        <v>73</v>
      </c>
    </row>
    <row r="22" spans="1:4" outlineLevel="1">
      <c r="A22" s="26" t="s">
        <v>74</v>
      </c>
      <c r="B22" s="26" t="s">
        <v>405</v>
      </c>
    </row>
    <row r="23" spans="1:4" outlineLevel="1">
      <c r="A23" s="26" t="s">
        <v>75</v>
      </c>
      <c r="B23" s="26" t="s">
        <v>76</v>
      </c>
    </row>
    <row r="24" spans="1:4" collapsed="1"/>
    <row r="26" spans="1:4" ht="18.75">
      <c r="A26" s="1" t="s">
        <v>77</v>
      </c>
      <c r="B26" s="27"/>
      <c r="C26" s="27"/>
      <c r="D26" s="3"/>
    </row>
    <row r="27" spans="1:4" ht="15.75" outlineLevel="1" thickBot="1">
      <c r="A27" s="28" t="s">
        <v>78</v>
      </c>
      <c r="B27" s="28" t="s">
        <v>79</v>
      </c>
      <c r="C27" s="28" t="s">
        <v>71</v>
      </c>
    </row>
    <row r="28" spans="1:4" outlineLevel="1">
      <c r="A28" s="26" t="s">
        <v>80</v>
      </c>
      <c r="B28" s="132">
        <v>8080</v>
      </c>
    </row>
    <row r="29" spans="1:4" outlineLevel="1">
      <c r="A29" s="26" t="s">
        <v>81</v>
      </c>
      <c r="B29" s="26" t="s">
        <v>82</v>
      </c>
    </row>
    <row r="30" spans="1:4" outlineLevel="1">
      <c r="A30" s="26" t="s">
        <v>83</v>
      </c>
      <c r="B30" s="26" t="s">
        <v>84</v>
      </c>
    </row>
    <row r="31" spans="1:4" collapsed="1"/>
    <row r="33" spans="1:4" ht="18.75">
      <c r="A33" s="1" t="s">
        <v>85</v>
      </c>
      <c r="B33" s="27"/>
      <c r="C33" s="27"/>
      <c r="D33" s="3"/>
    </row>
    <row r="34" spans="1:4" ht="15.75" outlineLevel="1" thickBot="1">
      <c r="A34" s="28" t="s">
        <v>86</v>
      </c>
      <c r="B34" s="28" t="s">
        <v>78</v>
      </c>
      <c r="C34" s="28" t="s">
        <v>79</v>
      </c>
      <c r="D34" s="28" t="s">
        <v>63</v>
      </c>
    </row>
    <row r="35" spans="1:4" outlineLevel="1">
      <c r="A35" s="26" t="s">
        <v>87</v>
      </c>
      <c r="B35" s="26" t="s">
        <v>88</v>
      </c>
      <c r="C35" s="26" t="s">
        <v>187</v>
      </c>
    </row>
    <row r="36" spans="1:4" outlineLevel="1">
      <c r="A36" s="26" t="s">
        <v>87</v>
      </c>
      <c r="B36" s="26" t="s">
        <v>89</v>
      </c>
    </row>
    <row r="37" spans="1:4" outlineLevel="1">
      <c r="A37" s="26" t="s">
        <v>87</v>
      </c>
      <c r="B37" s="26" t="s">
        <v>90</v>
      </c>
      <c r="C37" s="26" t="s">
        <v>406</v>
      </c>
    </row>
    <row r="38" spans="1:4" outlineLevel="1">
      <c r="A38" s="26" t="s">
        <v>87</v>
      </c>
      <c r="B38" s="26" t="s">
        <v>91</v>
      </c>
      <c r="C38" s="26" t="s">
        <v>425</v>
      </c>
    </row>
    <row r="39" spans="1:4" outlineLevel="1">
      <c r="A39" s="26" t="s">
        <v>87</v>
      </c>
      <c r="B39" s="26" t="s">
        <v>92</v>
      </c>
      <c r="C39" s="26" t="s">
        <v>413</v>
      </c>
    </row>
    <row r="40" spans="1:4" outlineLevel="1">
      <c r="A40" s="26" t="s">
        <v>87</v>
      </c>
      <c r="B40" s="26" t="s">
        <v>93</v>
      </c>
      <c r="C40" s="132" t="s">
        <v>414</v>
      </c>
    </row>
    <row r="41" spans="1:4" outlineLevel="1">
      <c r="A41" s="26" t="s">
        <v>87</v>
      </c>
      <c r="B41" s="26" t="s">
        <v>94</v>
      </c>
      <c r="C41" s="26" t="s">
        <v>95</v>
      </c>
    </row>
    <row r="42" spans="1:4" outlineLevel="1">
      <c r="A42" s="26" t="s">
        <v>87</v>
      </c>
      <c r="B42" s="26" t="s">
        <v>96</v>
      </c>
      <c r="C42" s="26" t="s">
        <v>97</v>
      </c>
    </row>
    <row r="43" spans="1:4" outlineLevel="1">
      <c r="A43" s="26" t="s">
        <v>87</v>
      </c>
      <c r="B43" s="26" t="s">
        <v>98</v>
      </c>
      <c r="C43" s="26" t="s">
        <v>99</v>
      </c>
    </row>
    <row r="44" spans="1:4" outlineLevel="1">
      <c r="A44" s="26" t="s">
        <v>100</v>
      </c>
      <c r="B44" s="26" t="s">
        <v>101</v>
      </c>
      <c r="C44" s="26" t="s">
        <v>102</v>
      </c>
    </row>
    <row r="45" spans="1:4" collapsed="1"/>
    <row r="47" spans="1:4" ht="18.75">
      <c r="A47" s="1" t="s">
        <v>103</v>
      </c>
      <c r="B47" s="27"/>
      <c r="C47" s="27"/>
      <c r="D47" s="3"/>
    </row>
    <row r="48" spans="1:4" ht="15.75" outlineLevel="1" thickBot="1">
      <c r="A48" s="28" t="s">
        <v>78</v>
      </c>
      <c r="B48" s="28" t="s">
        <v>79</v>
      </c>
      <c r="C48" s="28" t="s">
        <v>71</v>
      </c>
    </row>
    <row r="49" spans="1:4" outlineLevel="1">
      <c r="A49" s="26" t="s">
        <v>104</v>
      </c>
      <c r="B49" s="26" t="s">
        <v>105</v>
      </c>
      <c r="C49" s="32"/>
    </row>
    <row r="50" spans="1:4" outlineLevel="1">
      <c r="A50" s="26" t="s">
        <v>106</v>
      </c>
      <c r="B50" s="26" t="s">
        <v>188</v>
      </c>
      <c r="C50" s="32"/>
    </row>
    <row r="51" spans="1:4" outlineLevel="1">
      <c r="A51" s="26" t="s">
        <v>107</v>
      </c>
      <c r="C51" s="32"/>
    </row>
    <row r="52" spans="1:4" outlineLevel="1">
      <c r="A52" s="26" t="s">
        <v>108</v>
      </c>
      <c r="B52" s="26" t="s">
        <v>100</v>
      </c>
      <c r="C52" s="32"/>
    </row>
    <row r="53" spans="1:4" collapsed="1"/>
    <row r="55" spans="1:4" ht="18.75">
      <c r="A55" s="1" t="s">
        <v>109</v>
      </c>
      <c r="B55" s="27"/>
      <c r="C55" s="27"/>
      <c r="D55" s="3"/>
    </row>
    <row r="56" spans="1:4" ht="15.75" outlineLevel="1" thickBot="1">
      <c r="A56" s="28" t="s">
        <v>110</v>
      </c>
      <c r="B56" s="28" t="s">
        <v>78</v>
      </c>
      <c r="C56" s="28" t="s">
        <v>79</v>
      </c>
      <c r="D56" s="28" t="s">
        <v>71</v>
      </c>
    </row>
    <row r="57" spans="1:4" outlineLevel="1">
      <c r="A57" s="32" t="s">
        <v>100</v>
      </c>
      <c r="B57" s="26" t="s">
        <v>111</v>
      </c>
      <c r="D57" s="32"/>
    </row>
    <row r="58" spans="1:4" outlineLevel="1">
      <c r="A58" s="32" t="s">
        <v>100</v>
      </c>
      <c r="B58" s="26" t="s">
        <v>112</v>
      </c>
      <c r="D58" s="32"/>
    </row>
    <row r="59" spans="1:4" collapsed="1"/>
    <row r="61" spans="1:4" ht="18.75">
      <c r="A61" s="1" t="s">
        <v>113</v>
      </c>
      <c r="B61" s="27"/>
      <c r="C61" s="27"/>
      <c r="D61" s="3"/>
    </row>
    <row r="62" spans="1:4" ht="15.75" outlineLevel="1" thickBot="1">
      <c r="A62" s="28" t="s">
        <v>78</v>
      </c>
      <c r="B62" s="28" t="s">
        <v>79</v>
      </c>
      <c r="C62" s="28" t="s">
        <v>71</v>
      </c>
    </row>
    <row r="63" spans="1:4" outlineLevel="1">
      <c r="A63" s="33" t="s">
        <v>114</v>
      </c>
      <c r="B63" s="26" t="s">
        <v>417</v>
      </c>
    </row>
    <row r="64" spans="1:4" outlineLevel="1">
      <c r="A64" s="34" t="s">
        <v>115</v>
      </c>
      <c r="B64" s="34" t="s">
        <v>417</v>
      </c>
      <c r="C64" s="32"/>
    </row>
    <row r="65" spans="1:4" outlineLevel="1">
      <c r="A65" s="29" t="s">
        <v>116</v>
      </c>
      <c r="B65" s="35" t="s">
        <v>419</v>
      </c>
    </row>
    <row r="66" spans="1:4" outlineLevel="1">
      <c r="A66" s="29" t="s">
        <v>117</v>
      </c>
      <c r="B66" s="35" t="s">
        <v>417</v>
      </c>
    </row>
    <row r="67" spans="1:4" outlineLevel="1">
      <c r="A67" s="29" t="s">
        <v>118</v>
      </c>
      <c r="B67" s="29"/>
    </row>
    <row r="68" spans="1:4" outlineLevel="1">
      <c r="A68" s="29" t="s">
        <v>119</v>
      </c>
      <c r="B68" s="29"/>
    </row>
    <row r="69" spans="1:4" outlineLevel="1">
      <c r="A69" s="29" t="s">
        <v>120</v>
      </c>
      <c r="B69" s="29"/>
    </row>
    <row r="70" spans="1:4" outlineLevel="1">
      <c r="A70" s="29" t="s">
        <v>121</v>
      </c>
      <c r="B70" s="29"/>
    </row>
    <row r="71" spans="1:4" outlineLevel="1">
      <c r="A71" s="34" t="s">
        <v>122</v>
      </c>
      <c r="B71" s="34" t="s">
        <v>1</v>
      </c>
      <c r="C71" s="32"/>
    </row>
    <row r="72" spans="1:4" outlineLevel="1">
      <c r="A72" s="34" t="s">
        <v>123</v>
      </c>
      <c r="B72" s="34" t="s">
        <v>1</v>
      </c>
      <c r="C72" s="32"/>
    </row>
    <row r="73" spans="1:4" outlineLevel="1">
      <c r="A73" s="34" t="s">
        <v>124</v>
      </c>
      <c r="B73" s="34" t="s">
        <v>1</v>
      </c>
      <c r="C73" s="32"/>
    </row>
    <row r="74" spans="1:4" outlineLevel="1">
      <c r="A74" s="34" t="s">
        <v>125</v>
      </c>
      <c r="B74" s="34" t="s">
        <v>1</v>
      </c>
      <c r="C74" s="32"/>
    </row>
    <row r="75" spans="1:4" outlineLevel="1">
      <c r="A75" s="34" t="s">
        <v>126</v>
      </c>
      <c r="B75" s="34" t="s">
        <v>336</v>
      </c>
      <c r="C75" s="32"/>
    </row>
    <row r="76" spans="1:4" outlineLevel="1">
      <c r="A76" s="34" t="s">
        <v>127</v>
      </c>
      <c r="B76" s="34"/>
      <c r="C76" s="32"/>
    </row>
    <row r="77" spans="1:4" outlineLevel="1">
      <c r="A77" s="34" t="s">
        <v>128</v>
      </c>
      <c r="B77" s="34"/>
      <c r="C77" s="32"/>
    </row>
    <row r="78" spans="1:4" collapsed="1"/>
    <row r="80" spans="1:4" ht="18.75">
      <c r="A80" s="1" t="s">
        <v>129</v>
      </c>
      <c r="B80" s="27"/>
      <c r="C80" s="27"/>
      <c r="D80" s="3"/>
    </row>
    <row r="81" spans="1:4" ht="15.75" outlineLevel="1" thickBot="1">
      <c r="A81" s="28" t="s">
        <v>116</v>
      </c>
      <c r="B81" s="28" t="s">
        <v>130</v>
      </c>
      <c r="C81" s="28" t="s">
        <v>131</v>
      </c>
      <c r="D81" s="28" t="s">
        <v>132</v>
      </c>
    </row>
    <row r="82" spans="1:4" outlineLevel="1"/>
    <row r="83" spans="1:4" outlineLevel="1">
      <c r="A83" s="34"/>
      <c r="B83" s="34"/>
      <c r="C83" s="34"/>
      <c r="D83" s="34"/>
    </row>
    <row r="84" spans="1:4" collapsed="1">
      <c r="A84" s="34"/>
      <c r="B84" s="34"/>
      <c r="C84" s="34"/>
    </row>
    <row r="86" spans="1:4" ht="18.75">
      <c r="A86" s="1" t="s">
        <v>133</v>
      </c>
      <c r="B86" s="27"/>
      <c r="C86" s="27"/>
      <c r="D86" s="3"/>
    </row>
    <row r="87" spans="1:4" ht="15.75" outlineLevel="1" thickBot="1">
      <c r="A87" s="28" t="s">
        <v>78</v>
      </c>
      <c r="B87" s="28" t="s">
        <v>79</v>
      </c>
      <c r="C87" s="28" t="s">
        <v>71</v>
      </c>
    </row>
    <row r="88" spans="1:4" outlineLevel="1">
      <c r="A88" s="26" t="s">
        <v>189</v>
      </c>
      <c r="B88" s="26" t="s">
        <v>417</v>
      </c>
      <c r="C88" s="32"/>
    </row>
    <row r="89" spans="1:4" outlineLevel="1">
      <c r="A89" s="26" t="s">
        <v>190</v>
      </c>
      <c r="B89" s="26" t="s">
        <v>191</v>
      </c>
      <c r="C89" s="32"/>
    </row>
    <row r="90" spans="1:4" collapsed="1"/>
    <row r="92" spans="1:4" ht="18.75">
      <c r="A92" s="1" t="s">
        <v>134</v>
      </c>
      <c r="B92" s="27"/>
      <c r="C92" s="27"/>
      <c r="D92" s="3"/>
    </row>
    <row r="93" spans="1:4" ht="15.75" outlineLevel="1" thickBot="1">
      <c r="A93" s="28" t="s">
        <v>78</v>
      </c>
      <c r="B93" s="28" t="s">
        <v>79</v>
      </c>
      <c r="C93" s="28" t="s">
        <v>63</v>
      </c>
    </row>
    <row r="94" spans="1:4" ht="30" outlineLevel="1">
      <c r="A94" s="36" t="s">
        <v>135</v>
      </c>
      <c r="B94" s="36" t="s">
        <v>1</v>
      </c>
      <c r="C94" s="37" t="s">
        <v>136</v>
      </c>
    </row>
    <row r="95" spans="1:4" outlineLevel="1">
      <c r="A95" s="34" t="s">
        <v>137</v>
      </c>
      <c r="B95" s="34" t="s">
        <v>420</v>
      </c>
      <c r="C95" s="32"/>
    </row>
    <row r="96" spans="1:4" ht="75" outlineLevel="1">
      <c r="A96" s="34" t="s">
        <v>138</v>
      </c>
      <c r="B96" s="80" t="s">
        <v>421</v>
      </c>
      <c r="C96" s="32"/>
    </row>
    <row r="97" spans="1:4" outlineLevel="1">
      <c r="A97" s="34" t="s">
        <v>139</v>
      </c>
      <c r="B97" s="34"/>
      <c r="C97" s="32"/>
    </row>
    <row r="98" spans="1:4" outlineLevel="1">
      <c r="A98" s="34" t="s">
        <v>140</v>
      </c>
      <c r="B98" s="34"/>
      <c r="C98" s="32"/>
    </row>
    <row r="99" spans="1:4" outlineLevel="1">
      <c r="A99" s="34" t="s">
        <v>141</v>
      </c>
      <c r="B99" s="34"/>
      <c r="C99" s="32"/>
    </row>
    <row r="100" spans="1:4" outlineLevel="1">
      <c r="A100" s="34" t="s">
        <v>142</v>
      </c>
      <c r="B100" s="34"/>
      <c r="C100" s="32"/>
    </row>
    <row r="101" spans="1:4" outlineLevel="1">
      <c r="A101" s="26" t="s">
        <v>143</v>
      </c>
      <c r="C101" s="32"/>
    </row>
    <row r="102" spans="1:4" outlineLevel="1">
      <c r="A102" s="34" t="s">
        <v>144</v>
      </c>
      <c r="B102" s="34" t="s">
        <v>145</v>
      </c>
      <c r="C102" s="32"/>
    </row>
    <row r="103" spans="1:4" collapsed="1"/>
    <row r="105" spans="1:4" ht="18.75">
      <c r="A105" s="1" t="s">
        <v>146</v>
      </c>
      <c r="B105" s="27"/>
      <c r="C105" s="27"/>
      <c r="D105" s="3"/>
    </row>
    <row r="106" spans="1:4" ht="15.75" customHeight="1" outlineLevel="1" thickBot="1">
      <c r="A106" s="28" t="s">
        <v>147</v>
      </c>
      <c r="B106" s="28" t="s">
        <v>148</v>
      </c>
      <c r="C106" s="28" t="s">
        <v>71</v>
      </c>
    </row>
    <row r="107" spans="1:4" ht="15" customHeight="1" outlineLevel="1">
      <c r="A107" s="26" t="s">
        <v>149</v>
      </c>
      <c r="B107" s="26" t="s">
        <v>150</v>
      </c>
      <c r="C107" s="32"/>
    </row>
    <row r="108" spans="1:4" ht="15" customHeight="1" outlineLevel="1">
      <c r="A108" s="34" t="s">
        <v>151</v>
      </c>
      <c r="B108" s="34" t="s">
        <v>152</v>
      </c>
      <c r="C108" s="32" t="s">
        <v>153</v>
      </c>
    </row>
    <row r="109" spans="1:4" ht="15" customHeight="1" outlineLevel="1">
      <c r="A109" s="34" t="s">
        <v>154</v>
      </c>
      <c r="B109" s="34" t="s">
        <v>155</v>
      </c>
      <c r="C109" s="32"/>
    </row>
    <row r="110" spans="1:4" ht="15" customHeight="1" outlineLevel="1">
      <c r="A110" s="34" t="s">
        <v>156</v>
      </c>
      <c r="B110" s="34" t="s">
        <v>157</v>
      </c>
      <c r="C110" s="32"/>
    </row>
    <row r="111" spans="1:4" ht="30" outlineLevel="1">
      <c r="A111" s="34" t="s">
        <v>158</v>
      </c>
      <c r="B111" s="34" t="s">
        <v>159</v>
      </c>
      <c r="C111" s="38" t="s">
        <v>160</v>
      </c>
    </row>
    <row r="112" spans="1:4" outlineLevel="1">
      <c r="A112" s="34" t="s">
        <v>161</v>
      </c>
      <c r="B112" s="34" t="s">
        <v>162</v>
      </c>
      <c r="C112" s="38" t="s">
        <v>163</v>
      </c>
    </row>
    <row r="113" collapsed="1"/>
  </sheetData>
  <dataValidations count="12">
    <dataValidation type="list" allowBlank="1" showInputMessage="1" showErrorMessage="1" sqref="B102">
      <formula1>"HTTP, HTTPS, HTTP and HTTPS"</formula1>
    </dataValidation>
    <dataValidation type="list" allowBlank="1" showInputMessage="1" showErrorMessage="1" sqref="B94">
      <formula1>"Yes, No"</formula1>
    </dataValidation>
    <dataValidation type="list" allowBlank="1" showInputMessage="1" showErrorMessage="1" sqref="B22">
      <formula1>"Error, Warn, Info, Debug, Trace"</formula1>
    </dataValidation>
    <dataValidation type="list" allowBlank="1" showInputMessage="1" showErrorMessage="1" sqref="C37">
      <formula1>"Oracle,MySQL,MSSQL"</formula1>
    </dataValidation>
    <dataValidation type="list" allowBlank="1" showInputMessage="1" showErrorMessage="1" sqref="C35">
      <formula1>"Disabled, Data source configuration, JNDI"</formula1>
    </dataValidation>
    <dataValidation type="list" allowBlank="1" showInputMessage="1" showErrorMessage="1" sqref="B49">
      <formula1>"Application Server, Database"</formula1>
    </dataValidation>
    <dataValidation type="list" allowBlank="1" showInputMessage="1" showErrorMessage="1" sqref="B71:B75">
      <formula1>"Yes,No"</formula1>
    </dataValidation>
    <dataValidation type="list" allowBlank="1" showInputMessage="1" showErrorMessage="1" sqref="C22">
      <formula1>"ERROR, WARN, INFO, DEBUG, TRACE"</formula1>
    </dataValidation>
    <dataValidation operator="greaterThanOrEqual" allowBlank="1" showInputMessage="1" showErrorMessage="1" sqref="B50 C41:C43"/>
    <dataValidation operator="greaterThanOrEqual" allowBlank="1" showInputMessage="1" showErrorMessage="1" error="Integer, Min: -1" sqref="B30:C30"/>
    <dataValidation type="list" allowBlank="1" showInputMessage="1" showErrorMessage="1" sqref="D82:D83">
      <formula1>"compile, runtime, provided"</formula1>
    </dataValidation>
    <dataValidation type="list" allowBlank="1" showInputMessage="1" showErrorMessage="1" sqref="C64 C71:C77">
      <formula1>"Y"</formula1>
    </dataValidation>
  </dataValidations>
  <pageMargins left="0.7" right="0.7" top="0.75" bottom="0.75" header="0.3" footer="0.3"/>
  <pageSetup paperSize="9" orientation="portrait" r:id="rId1"/>
  <ignoredErrors>
    <ignoredError sqref="B30 B50 C41:C44" numberStoredAsText="1"/>
  </ignoredErrors>
  <tableParts count="12">
    <tablePart r:id="rId2"/>
    <tablePart r:id="rId3"/>
    <tablePart r:id="rId4"/>
    <tablePart r:id="rId5"/>
    <tablePart r:id="rId6"/>
    <tablePart r:id="rId7"/>
    <tablePart r:id="rId8"/>
    <tablePart r:id="rId9"/>
    <tablePart r:id="rId10"/>
    <tablePart r:id="rId11"/>
    <tablePart r:id="rId12"/>
    <tablePart r:id="rId1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_C02_RE">
    <tabColor rgb="FFDEFEB4"/>
    <outlinePr summaryBelow="0" summaryRight="0"/>
  </sheetPr>
  <dimension ref="A1:I58"/>
  <sheetViews>
    <sheetView zoomScale="85" zoomScaleNormal="85" workbookViewId="0">
      <selection activeCell="B7" sqref="B7"/>
    </sheetView>
  </sheetViews>
  <sheetFormatPr defaultColWidth="10.42578125" defaultRowHeight="15" outlineLevelRow="1"/>
  <cols>
    <col min="1" max="1" width="33.85546875" style="39" bestFit="1" customWidth="1"/>
    <col min="2" max="2" width="28" style="39" customWidth="1"/>
    <col min="3" max="3" width="27.7109375" style="39" bestFit="1" customWidth="1"/>
    <col min="4" max="4" width="28.7109375" style="39" bestFit="1" customWidth="1"/>
    <col min="5" max="5" width="24.85546875" style="39" bestFit="1" customWidth="1"/>
    <col min="6" max="6" width="21.140625" style="39" bestFit="1" customWidth="1"/>
    <col min="7" max="7" width="24.42578125" style="39" bestFit="1" customWidth="1"/>
    <col min="8" max="8" width="19.7109375" style="39" bestFit="1" customWidth="1"/>
    <col min="9" max="9" width="17.42578125" style="39" bestFit="1" customWidth="1"/>
    <col min="10" max="16384" width="10.42578125" style="39"/>
  </cols>
  <sheetData>
    <row r="1" spans="1:9" ht="21">
      <c r="A1" s="24" t="s">
        <v>164</v>
      </c>
      <c r="B1" s="25"/>
      <c r="C1" s="25"/>
      <c r="D1" s="25"/>
      <c r="E1" s="25"/>
      <c r="F1" s="25"/>
      <c r="G1" s="25"/>
      <c r="H1" s="25"/>
      <c r="I1" s="25"/>
    </row>
    <row r="3" spans="1:9" s="35" customFormat="1" ht="18.75">
      <c r="A3" s="1" t="s">
        <v>62</v>
      </c>
      <c r="B3" s="27"/>
      <c r="C3" s="27"/>
      <c r="D3" s="27"/>
      <c r="E3" s="27"/>
      <c r="F3" s="27"/>
      <c r="G3" s="27"/>
      <c r="H3" s="27"/>
      <c r="I3" s="3"/>
    </row>
    <row r="4" spans="1:9" s="35" customFormat="1" ht="15.75" outlineLevel="1" thickBot="1">
      <c r="A4" s="28" t="s">
        <v>5</v>
      </c>
      <c r="B4" s="28" t="s">
        <v>45</v>
      </c>
      <c r="C4" s="28" t="s">
        <v>63</v>
      </c>
    </row>
    <row r="5" spans="1:9" s="35" customFormat="1" outlineLevel="1">
      <c r="A5" s="35" t="s">
        <v>165</v>
      </c>
      <c r="B5" s="35" t="s">
        <v>422</v>
      </c>
      <c r="C5" s="40"/>
    </row>
    <row r="6" spans="1:9" s="35" customFormat="1" outlineLevel="1">
      <c r="A6" s="35" t="s">
        <v>166</v>
      </c>
      <c r="B6" s="35" t="s">
        <v>423</v>
      </c>
      <c r="C6" s="40"/>
    </row>
    <row r="7" spans="1:9" s="35" customFormat="1" outlineLevel="1">
      <c r="A7" s="35" t="s">
        <v>167</v>
      </c>
      <c r="C7" s="40"/>
    </row>
    <row r="8" spans="1:9" s="35" customFormat="1" outlineLevel="1">
      <c r="A8" s="35" t="s">
        <v>168</v>
      </c>
      <c r="C8" s="40"/>
    </row>
    <row r="9" spans="1:9" s="35" customFormat="1">
      <c r="A9" s="29"/>
      <c r="B9" s="29"/>
      <c r="C9" s="31"/>
    </row>
    <row r="11" spans="1:9" s="35" customFormat="1" ht="18.75">
      <c r="A11" s="1" t="s">
        <v>169</v>
      </c>
      <c r="B11" s="27"/>
      <c r="C11" s="27"/>
      <c r="D11" s="27"/>
      <c r="E11" s="27"/>
      <c r="F11" s="27"/>
      <c r="G11" s="27"/>
      <c r="H11" s="27"/>
      <c r="I11" s="3"/>
    </row>
    <row r="12" spans="1:9" s="35" customFormat="1" ht="15.75" outlineLevel="1" thickBot="1">
      <c r="A12" s="28" t="s">
        <v>53</v>
      </c>
      <c r="B12" s="28" t="s">
        <v>170</v>
      </c>
      <c r="C12" s="28" t="s">
        <v>171</v>
      </c>
      <c r="D12" s="28" t="s">
        <v>172</v>
      </c>
      <c r="E12" s="28" t="s">
        <v>173</v>
      </c>
      <c r="F12" s="28" t="s">
        <v>174</v>
      </c>
      <c r="G12" s="28" t="s">
        <v>59</v>
      </c>
      <c r="H12" s="28" t="s">
        <v>175</v>
      </c>
    </row>
    <row r="13" spans="1:9" s="35" customFormat="1" outlineLevel="1">
      <c r="A13" s="29" t="s">
        <v>323</v>
      </c>
      <c r="B13" s="29" t="s">
        <v>319</v>
      </c>
      <c r="C13" s="29" t="s">
        <v>193</v>
      </c>
      <c r="D13" s="29" t="str">
        <f>ajGetAddress(AlchemyJ_Snippet_Data_Relationship_Schema_tbl38[#All])</f>
        <v>CRUD!B10:L11</v>
      </c>
      <c r="E13" s="29" t="s">
        <v>334</v>
      </c>
      <c r="F13" s="41"/>
      <c r="G13" s="41"/>
      <c r="H13" s="41"/>
    </row>
    <row r="14" spans="1:9" s="35" customFormat="1" outlineLevel="1">
      <c r="A14" s="29" t="s">
        <v>324</v>
      </c>
      <c r="B14" s="29" t="s">
        <v>319</v>
      </c>
      <c r="C14" s="29" t="s">
        <v>320</v>
      </c>
      <c r="D14" s="29" t="str">
        <f>ajGetAddress(AlchemyJ_Snippet_Data_Relationship_Schema_tbl35[#All])</f>
        <v>CRUD!B12:L14</v>
      </c>
      <c r="E14" s="29" t="s">
        <v>194</v>
      </c>
      <c r="F14" s="41"/>
      <c r="G14" s="41"/>
      <c r="H14" s="41"/>
    </row>
    <row r="15" spans="1:9" s="35" customFormat="1" outlineLevel="1">
      <c r="A15" s="29" t="s">
        <v>325</v>
      </c>
      <c r="B15" s="29" t="s">
        <v>339</v>
      </c>
      <c r="C15" s="29" t="s">
        <v>321</v>
      </c>
      <c r="D15" s="30" t="str">
        <f>ajGetAddress(AlchemyJ_Snippet_Data_Relationship_Schema_tbl36[#All])</f>
        <v>CRUD!B15:L16</v>
      </c>
      <c r="E15" s="29" t="s">
        <v>334</v>
      </c>
      <c r="F15" s="41"/>
      <c r="G15" s="41"/>
      <c r="H15" s="41"/>
    </row>
    <row r="16" spans="1:9" s="35" customFormat="1" outlineLevel="1">
      <c r="A16" s="29" t="s">
        <v>326</v>
      </c>
      <c r="B16" s="29" t="s">
        <v>339</v>
      </c>
      <c r="C16" s="29" t="s">
        <v>322</v>
      </c>
      <c r="D16" s="29" t="str">
        <f>ajGetAddress(AlchemyJ_Snippet_Data_Relationship_Schema_tbl37[#All])</f>
        <v>CRUD!B17:L18</v>
      </c>
      <c r="E16" s="29" t="s">
        <v>334</v>
      </c>
      <c r="F16" s="41"/>
      <c r="G16" s="41"/>
      <c r="H16" s="41"/>
    </row>
    <row r="17" spans="1:9" s="35" customFormat="1" outlineLevel="1">
      <c r="A17" s="29"/>
      <c r="B17" s="29"/>
      <c r="C17" s="29"/>
      <c r="D17" s="29"/>
      <c r="E17" s="29"/>
      <c r="F17" s="41"/>
      <c r="G17" s="41"/>
      <c r="H17" s="41"/>
    </row>
    <row r="18" spans="1:9" s="35" customFormat="1" outlineLevel="1">
      <c r="A18" s="137"/>
      <c r="B18" s="137"/>
      <c r="C18" s="137"/>
      <c r="D18" s="137"/>
      <c r="E18" s="137"/>
      <c r="F18" s="138"/>
      <c r="G18" s="138"/>
      <c r="H18" s="138"/>
    </row>
    <row r="19" spans="1:9" s="35" customFormat="1" outlineLevel="1">
      <c r="A19" s="29"/>
      <c r="D19" s="39"/>
      <c r="E19" s="29"/>
      <c r="F19" s="41"/>
      <c r="G19" s="41"/>
      <c r="H19" s="41"/>
    </row>
    <row r="20" spans="1:9" s="35" customFormat="1" outlineLevel="1">
      <c r="A20" s="29"/>
      <c r="D20" s="39"/>
      <c r="E20" s="29"/>
      <c r="F20" s="41"/>
      <c r="G20" s="41"/>
      <c r="H20" s="41"/>
    </row>
    <row r="21" spans="1:9" s="35" customFormat="1" outlineLevel="1">
      <c r="A21" s="29"/>
      <c r="B21" s="29"/>
      <c r="C21" s="29"/>
      <c r="D21" s="29"/>
      <c r="E21" s="29"/>
      <c r="F21" s="41"/>
      <c r="G21" s="41"/>
      <c r="H21" s="41"/>
    </row>
    <row r="22" spans="1:9" s="35" customFormat="1" outlineLevel="1">
      <c r="A22" s="29"/>
      <c r="D22" s="39"/>
      <c r="E22" s="29"/>
      <c r="F22" s="41"/>
      <c r="G22" s="41"/>
      <c r="H22" s="41"/>
    </row>
    <row r="23" spans="1:9" s="35" customFormat="1">
      <c r="F23" s="39"/>
      <c r="G23" s="29"/>
    </row>
    <row r="24" spans="1:9" s="35" customFormat="1"/>
    <row r="25" spans="1:9" s="35" customFormat="1" ht="18.75">
      <c r="A25" s="1" t="s">
        <v>176</v>
      </c>
      <c r="B25" s="27"/>
      <c r="C25" s="27"/>
      <c r="D25" s="27"/>
      <c r="E25" s="27"/>
      <c r="F25" s="27"/>
      <c r="G25" s="27"/>
      <c r="H25" s="27"/>
      <c r="I25" s="3"/>
    </row>
    <row r="26" spans="1:9" s="35" customFormat="1" ht="15.75" outlineLevel="1" thickBot="1">
      <c r="A26" s="28" t="s">
        <v>177</v>
      </c>
      <c r="B26" s="28" t="s">
        <v>178</v>
      </c>
      <c r="C26" s="28" t="s">
        <v>179</v>
      </c>
      <c r="D26" s="28" t="s">
        <v>180</v>
      </c>
      <c r="E26" s="28" t="s">
        <v>181</v>
      </c>
      <c r="F26" s="28" t="s">
        <v>58</v>
      </c>
      <c r="G26" s="28" t="s">
        <v>182</v>
      </c>
      <c r="H26" s="28" t="s">
        <v>183</v>
      </c>
      <c r="I26" s="28" t="s">
        <v>59</v>
      </c>
    </row>
    <row r="27" spans="1:9" s="35" customFormat="1" outlineLevel="1">
      <c r="A27" s="29" t="s">
        <v>323</v>
      </c>
      <c r="B27" s="29" t="s">
        <v>195</v>
      </c>
      <c r="C27" s="29" t="s">
        <v>380</v>
      </c>
      <c r="D27" s="35" t="s">
        <v>196</v>
      </c>
      <c r="E27" s="113" t="str">
        <f>ajGetAddress(AlchemyJ_Snippet_Data_Relationship_Schema_tbl34[#All])</f>
        <v>CRUD!B4:L6</v>
      </c>
      <c r="F27" s="29" t="s">
        <v>1</v>
      </c>
      <c r="G27" s="41"/>
      <c r="H27" s="41"/>
      <c r="I27" s="41"/>
    </row>
    <row r="28" spans="1:9" s="35" customFormat="1" outlineLevel="1">
      <c r="A28" s="29" t="s">
        <v>324</v>
      </c>
      <c r="B28" s="29" t="s">
        <v>335</v>
      </c>
      <c r="C28" s="29" t="s">
        <v>306</v>
      </c>
      <c r="D28" s="29" t="s">
        <v>217</v>
      </c>
      <c r="E28" s="114" t="str">
        <f>ajGetAddress(CRUD!B45)</f>
        <v>CRUD!B45</v>
      </c>
      <c r="F28" s="29" t="s">
        <v>336</v>
      </c>
      <c r="G28" s="41"/>
      <c r="H28" s="41"/>
      <c r="I28" s="41"/>
    </row>
    <row r="29" spans="1:9" s="35" customFormat="1" outlineLevel="1">
      <c r="A29" s="29" t="s">
        <v>324</v>
      </c>
      <c r="B29" s="29" t="s">
        <v>335</v>
      </c>
      <c r="C29" s="29" t="s">
        <v>307</v>
      </c>
      <c r="D29" s="29" t="s">
        <v>215</v>
      </c>
      <c r="E29" s="114" t="str">
        <f>ajGetAddress(CRUD!B46)</f>
        <v>CRUD!B46</v>
      </c>
      <c r="F29" s="29" t="s">
        <v>336</v>
      </c>
      <c r="G29" s="41"/>
      <c r="H29" s="41"/>
      <c r="I29" s="41"/>
    </row>
    <row r="30" spans="1:9" s="35" customFormat="1" outlineLevel="1">
      <c r="A30" s="29" t="s">
        <v>324</v>
      </c>
      <c r="B30" s="29" t="s">
        <v>335</v>
      </c>
      <c r="C30" s="29" t="s">
        <v>327</v>
      </c>
      <c r="D30" s="29" t="s">
        <v>215</v>
      </c>
      <c r="E30" s="114" t="str">
        <f>ajGetAddress(CRUD!B47)</f>
        <v>CRUD!B47</v>
      </c>
      <c r="F30" s="29" t="s">
        <v>336</v>
      </c>
      <c r="G30" s="41"/>
      <c r="H30" s="41"/>
      <c r="I30" s="41"/>
    </row>
    <row r="31" spans="1:9" s="35" customFormat="1" outlineLevel="1">
      <c r="A31" s="29" t="s">
        <v>325</v>
      </c>
      <c r="B31" s="29" t="s">
        <v>337</v>
      </c>
      <c r="C31" s="29" t="s">
        <v>306</v>
      </c>
      <c r="D31" s="29" t="s">
        <v>217</v>
      </c>
      <c r="E31" s="29" t="str">
        <f>ajGetAddress(CRUD!B45)</f>
        <v>CRUD!B45</v>
      </c>
      <c r="F31" s="29" t="s">
        <v>1</v>
      </c>
      <c r="G31" s="41"/>
      <c r="H31" s="41"/>
      <c r="I31" s="41"/>
    </row>
    <row r="32" spans="1:9" s="35" customFormat="1" outlineLevel="1">
      <c r="A32" s="29" t="s">
        <v>325</v>
      </c>
      <c r="B32" s="29" t="s">
        <v>195</v>
      </c>
      <c r="C32" s="29" t="s">
        <v>380</v>
      </c>
      <c r="D32" s="29" t="s">
        <v>196</v>
      </c>
      <c r="E32" s="114" t="str">
        <f>ajGetAddress(AlchemyJ_Snippet_Data_Relationship_Schema_tbl34[#All])</f>
        <v>CRUD!B4:L6</v>
      </c>
      <c r="F32" s="29" t="s">
        <v>1</v>
      </c>
      <c r="G32" s="41"/>
      <c r="H32" s="41"/>
      <c r="I32" s="41"/>
    </row>
    <row r="33" spans="1:9" s="35" customFormat="1" outlineLevel="1">
      <c r="A33" s="29" t="s">
        <v>326</v>
      </c>
      <c r="B33" s="29" t="s">
        <v>337</v>
      </c>
      <c r="C33" s="29" t="s">
        <v>306</v>
      </c>
      <c r="D33" s="35" t="s">
        <v>217</v>
      </c>
      <c r="E33" s="29" t="str">
        <f>ajGetAddress(CRUD!B45)</f>
        <v>CRUD!B45</v>
      </c>
      <c r="F33" s="29" t="s">
        <v>1</v>
      </c>
      <c r="G33" s="41"/>
      <c r="H33" s="41"/>
      <c r="I33" s="41"/>
    </row>
    <row r="34" spans="1:9" s="35" customFormat="1" outlineLevel="1">
      <c r="A34" s="137"/>
      <c r="B34" s="137"/>
      <c r="C34" s="137"/>
      <c r="D34" s="137"/>
      <c r="E34" s="137"/>
      <c r="F34" s="137"/>
      <c r="G34" s="138"/>
      <c r="H34" s="138"/>
      <c r="I34" s="138"/>
    </row>
    <row r="35" spans="1:9" s="35" customFormat="1" outlineLevel="1">
      <c r="A35" s="29"/>
      <c r="B35" s="29"/>
      <c r="C35" s="29"/>
      <c r="E35" s="29"/>
      <c r="F35" s="29"/>
      <c r="G35" s="41"/>
      <c r="H35" s="41"/>
      <c r="I35" s="41"/>
    </row>
    <row r="36" spans="1:9" s="35" customFormat="1" outlineLevel="1">
      <c r="A36" s="29"/>
      <c r="B36" s="29"/>
      <c r="C36" s="29"/>
      <c r="E36" s="29"/>
      <c r="F36" s="29"/>
      <c r="G36" s="41"/>
      <c r="H36" s="41"/>
      <c r="I36" s="41"/>
    </row>
    <row r="37" spans="1:9" s="35" customFormat="1">
      <c r="A37" s="42"/>
      <c r="B37" s="42"/>
      <c r="C37" s="42"/>
      <c r="D37" s="42"/>
      <c r="E37" s="42"/>
      <c r="F37" s="42"/>
      <c r="G37" s="42"/>
    </row>
    <row r="38" spans="1:9" s="35" customFormat="1">
      <c r="A38" s="29"/>
      <c r="B38" s="29"/>
      <c r="C38" s="29"/>
      <c r="D38" s="29"/>
      <c r="E38" s="29"/>
      <c r="F38" s="29"/>
      <c r="G38" s="29"/>
    </row>
    <row r="39" spans="1:9" s="35" customFormat="1" ht="18.75">
      <c r="A39" s="1" t="s">
        <v>184</v>
      </c>
      <c r="B39" s="27"/>
      <c r="C39" s="27"/>
      <c r="D39" s="27"/>
      <c r="E39" s="27"/>
      <c r="F39" s="27"/>
      <c r="G39" s="27"/>
      <c r="H39" s="27"/>
      <c r="I39" s="3"/>
    </row>
    <row r="40" spans="1:9" s="35" customFormat="1" ht="15.75" outlineLevel="1" thickBot="1">
      <c r="A40" s="28" t="s">
        <v>177</v>
      </c>
      <c r="B40" s="28" t="s">
        <v>178</v>
      </c>
      <c r="C40" s="28" t="s">
        <v>179</v>
      </c>
      <c r="D40" s="28" t="s">
        <v>181</v>
      </c>
      <c r="E40" s="29"/>
      <c r="F40" s="29"/>
      <c r="G40" s="29"/>
    </row>
    <row r="41" spans="1:9" s="35" customFormat="1" outlineLevel="1">
      <c r="A41" s="29"/>
      <c r="B41" s="29"/>
      <c r="C41" s="29"/>
      <c r="D41" s="29"/>
      <c r="E41" s="29"/>
      <c r="F41" s="29"/>
      <c r="G41" s="29"/>
    </row>
    <row r="42" spans="1:9" s="35" customFormat="1" outlineLevel="1">
      <c r="A42" s="29"/>
      <c r="B42" s="29"/>
      <c r="C42" s="29"/>
      <c r="D42" s="29"/>
      <c r="E42" s="29"/>
      <c r="F42" s="29"/>
      <c r="G42" s="29"/>
    </row>
    <row r="43" spans="1:9" s="35" customFormat="1" outlineLevel="1">
      <c r="A43" s="29"/>
      <c r="B43" s="29"/>
      <c r="C43" s="29"/>
      <c r="D43" s="29"/>
      <c r="E43" s="29"/>
      <c r="F43" s="29"/>
      <c r="G43" s="29"/>
    </row>
    <row r="44" spans="1:9" s="35" customFormat="1" collapsed="1">
      <c r="A44" s="29"/>
      <c r="B44" s="29"/>
      <c r="C44" s="29"/>
      <c r="D44" s="29"/>
      <c r="E44" s="29"/>
      <c r="F44" s="29"/>
      <c r="G44" s="29"/>
    </row>
    <row r="45" spans="1:9" s="35" customFormat="1">
      <c r="A45" s="43"/>
    </row>
    <row r="46" spans="1:9" s="35" customFormat="1" ht="18.75">
      <c r="A46" s="1" t="s">
        <v>185</v>
      </c>
      <c r="B46" s="27"/>
      <c r="C46" s="27"/>
      <c r="D46" s="27"/>
      <c r="E46" s="27"/>
      <c r="F46" s="27"/>
      <c r="G46" s="27"/>
      <c r="H46" s="27"/>
      <c r="I46" s="3"/>
    </row>
    <row r="47" spans="1:9" s="35" customFormat="1" ht="15.75" outlineLevel="1" thickBot="1">
      <c r="A47" s="28" t="s">
        <v>186</v>
      </c>
    </row>
    <row r="48" spans="1:9" s="35" customFormat="1" outlineLevel="1">
      <c r="A48" s="35" t="str">
        <f>ajGetUsedRangeAddress(DBSchema!A1)</f>
        <v>DBSchema!A1:R12</v>
      </c>
    </row>
    <row r="49" spans="1:1" s="35" customFormat="1" outlineLevel="1">
      <c r="A49" s="35" t="str">
        <f>ajGetUsedRangeAddress(DataDictionary!A1)</f>
        <v>DataDictionary!A1:AJ22</v>
      </c>
    </row>
    <row r="50" spans="1:1" s="35" customFormat="1" outlineLevel="1">
      <c r="A50" s="29" t="str">
        <f>ajGetUsedRangeAddress(CRUD!A1)</f>
        <v>CRUD!A1:O99</v>
      </c>
    </row>
    <row r="51" spans="1:1" s="35" customFormat="1" outlineLevel="1">
      <c r="A51" s="29"/>
    </row>
    <row r="52" spans="1:1" s="35" customFormat="1" outlineLevel="1">
      <c r="A52" s="137"/>
    </row>
    <row r="53" spans="1:1" s="35" customFormat="1" outlineLevel="1">
      <c r="A53" s="29"/>
    </row>
    <row r="54" spans="1:1" s="35" customFormat="1" outlineLevel="1">
      <c r="A54" s="29"/>
    </row>
    <row r="55" spans="1:1" s="35" customFormat="1" outlineLevel="1">
      <c r="A55" s="29"/>
    </row>
    <row r="56" spans="1:1" s="35" customFormat="1" outlineLevel="1">
      <c r="A56" s="29"/>
    </row>
    <row r="57" spans="1:1" s="35" customFormat="1" outlineLevel="1">
      <c r="A57" s="29"/>
    </row>
    <row r="58" spans="1:1" s="35" customFormat="1" collapsed="1"/>
  </sheetData>
  <dataValidations count="8">
    <dataValidation type="list" allowBlank="1" showInputMessage="1" showErrorMessage="1" sqref="C23">
      <formula1>"GET,POST,PUT,DELETE,HEAD,TRACE,OPTIONS,CONNECT"</formula1>
    </dataValidation>
    <dataValidation type="list" allowBlank="1" showInputMessage="1" showErrorMessage="1" sqref="B41:B43">
      <formula1>"Clean up files,Set Cookie, Set Response Header, Set Session"</formula1>
    </dataValidation>
    <dataValidation type="list" allowBlank="1" showInputMessage="1" showErrorMessage="1" sqref="F27:F36">
      <formula1>"Yes, No"</formula1>
    </dataValidation>
    <dataValidation type="list" allowBlank="1" showInputMessage="1" showErrorMessage="1" sqref="D27:D36">
      <formula1>"Boolean,Double,File,Integer,String,Object"</formula1>
    </dataValidation>
    <dataValidation type="list" allowBlank="1" showInputMessage="1" showErrorMessage="1" sqref="B27:B36">
      <formula1>"All request headers, All request parameters, Cookie item, HTTP header, Request body, Request parameter, Session variable, URI path segment"</formula1>
    </dataValidation>
    <dataValidation type="list" allowBlank="1" showInputMessage="1" showErrorMessage="1" sqref="F13:F22">
      <formula1>"Yes"</formula1>
    </dataValidation>
    <dataValidation type="list" allowBlank="1" showInputMessage="1" showErrorMessage="1" sqref="E13:E22">
      <formula1>"Transactional, Non-transactional"</formula1>
    </dataValidation>
    <dataValidation type="list" allowBlank="1" showInputMessage="1" showErrorMessage="1" sqref="C13:C22">
      <formula1>"POST,GET,PUT,PATCH,DELETE"</formula1>
    </dataValidation>
  </dataValidations>
  <pageMargins left="0.7" right="0.7" top="0.75" bottom="0.75" header="0.3" footer="0.3"/>
  <pageSetup paperSize="9" orientation="portrait" r:id="rId1"/>
  <ignoredErrors>
    <ignoredError sqref="E32" formula="1"/>
  </ignoredErrors>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_E02_DS">
    <tabColor rgb="FFD1B2E8"/>
    <outlinePr summaryBelow="0" summaryRight="0"/>
  </sheetPr>
  <dimension ref="A1:R12"/>
  <sheetViews>
    <sheetView zoomScale="85" zoomScaleNormal="85" workbookViewId="0">
      <pane ySplit="4" topLeftCell="A5" activePane="bottomLeft" state="frozen"/>
      <selection pane="bottomLeft" activeCell="A8" sqref="A8"/>
    </sheetView>
  </sheetViews>
  <sheetFormatPr defaultRowHeight="15"/>
  <cols>
    <col min="1" max="1" width="18.5703125" style="4" bestFit="1" customWidth="1"/>
    <col min="2" max="2" width="15.28515625" style="4" bestFit="1" customWidth="1"/>
    <col min="3" max="3" width="14.5703125" style="52" bestFit="1" customWidth="1"/>
    <col min="4" max="4" width="13" style="52" bestFit="1" customWidth="1"/>
    <col min="5" max="5" width="24.28515625" style="52" bestFit="1" customWidth="1"/>
    <col min="6" max="6" width="16.7109375" style="52" bestFit="1" customWidth="1"/>
    <col min="7" max="7" width="12.5703125" style="52" bestFit="1" customWidth="1"/>
    <col min="8" max="8" width="14.28515625" style="52" bestFit="1" customWidth="1"/>
    <col min="9" max="9" width="16.7109375" style="52" bestFit="1" customWidth="1"/>
    <col min="10" max="10" width="12.85546875" style="52" bestFit="1" customWidth="1"/>
    <col min="11" max="11" width="13.5703125" style="52" bestFit="1" customWidth="1"/>
    <col min="12" max="12" width="12.7109375" style="52" bestFit="1" customWidth="1"/>
    <col min="13" max="13" width="21.42578125" style="52" bestFit="1" customWidth="1"/>
    <col min="14" max="14" width="9.28515625" style="52" bestFit="1" customWidth="1"/>
    <col min="15" max="15" width="21.140625" style="52" bestFit="1" customWidth="1"/>
    <col min="16" max="16" width="26.140625" style="4" bestFit="1" customWidth="1"/>
    <col min="17" max="17" width="13.5703125" style="4" bestFit="1" customWidth="1"/>
    <col min="18" max="18" width="18.5703125" style="4" bestFit="1" customWidth="1"/>
    <col min="19" max="16384" width="9.140625" style="4"/>
  </cols>
  <sheetData>
    <row r="1" spans="1:18" s="47" customFormat="1" ht="21">
      <c r="A1" s="45" t="s">
        <v>197</v>
      </c>
      <c r="B1" s="46"/>
      <c r="C1" s="46"/>
      <c r="D1" s="46"/>
      <c r="E1" s="46"/>
      <c r="F1" s="46"/>
      <c r="G1" s="46"/>
      <c r="H1" s="46"/>
      <c r="I1" s="46"/>
      <c r="J1" s="46"/>
      <c r="K1" s="46"/>
      <c r="L1" s="46"/>
      <c r="M1" s="46"/>
      <c r="N1" s="46"/>
      <c r="O1" s="46"/>
      <c r="P1" s="46"/>
      <c r="Q1" s="46"/>
      <c r="R1" s="46"/>
    </row>
    <row r="2" spans="1:18" s="47" customFormat="1">
      <c r="A2" s="48"/>
      <c r="B2" s="48"/>
      <c r="C2" s="33"/>
      <c r="D2" s="33"/>
      <c r="E2" s="33"/>
      <c r="F2" s="33"/>
      <c r="G2" s="33"/>
      <c r="H2" s="33"/>
      <c r="I2" s="33"/>
      <c r="J2" s="33"/>
      <c r="K2" s="33"/>
      <c r="L2" s="33"/>
      <c r="M2" s="33"/>
      <c r="N2" s="33"/>
      <c r="O2" s="33"/>
      <c r="P2" s="49"/>
      <c r="Q2" s="49"/>
      <c r="R2" s="49"/>
    </row>
    <row r="3" spans="1:18" s="47" customFormat="1" ht="18.75">
      <c r="A3" s="1" t="s">
        <v>197</v>
      </c>
      <c r="B3" s="27"/>
      <c r="C3" s="27"/>
      <c r="D3" s="27"/>
      <c r="E3" s="27"/>
      <c r="F3" s="27"/>
      <c r="G3" s="27"/>
      <c r="H3" s="27"/>
      <c r="I3" s="27"/>
      <c r="J3" s="27"/>
      <c r="K3" s="27"/>
      <c r="L3" s="27"/>
      <c r="M3" s="27"/>
      <c r="N3" s="27"/>
      <c r="O3" s="27"/>
      <c r="P3" s="27"/>
      <c r="Q3" s="27"/>
      <c r="R3" s="3"/>
    </row>
    <row r="4" spans="1:18" ht="15.75" thickBot="1">
      <c r="A4" s="28" t="s">
        <v>86</v>
      </c>
      <c r="B4" s="28" t="s">
        <v>198</v>
      </c>
      <c r="C4" s="28" t="s">
        <v>199</v>
      </c>
      <c r="D4" s="28" t="s">
        <v>200</v>
      </c>
      <c r="E4" s="28" t="s">
        <v>201</v>
      </c>
      <c r="F4" s="28" t="s">
        <v>202</v>
      </c>
      <c r="G4" s="28" t="s">
        <v>203</v>
      </c>
      <c r="H4" s="28" t="s">
        <v>204</v>
      </c>
      <c r="I4" s="28" t="s">
        <v>205</v>
      </c>
      <c r="J4" s="28" t="s">
        <v>206</v>
      </c>
      <c r="K4" s="28" t="s">
        <v>207</v>
      </c>
      <c r="L4" s="28" t="s">
        <v>208</v>
      </c>
      <c r="M4" s="28" t="s">
        <v>209</v>
      </c>
      <c r="N4" s="28" t="s">
        <v>210</v>
      </c>
      <c r="O4" s="28" t="s">
        <v>211</v>
      </c>
      <c r="P4" s="50" t="s">
        <v>57</v>
      </c>
      <c r="Q4" s="50" t="s">
        <v>212</v>
      </c>
      <c r="R4" s="50" t="s">
        <v>213</v>
      </c>
    </row>
    <row r="5" spans="1:18">
      <c r="A5" s="53"/>
      <c r="B5" s="51"/>
      <c r="C5" s="53" t="s">
        <v>407</v>
      </c>
      <c r="D5" s="53">
        <v>1</v>
      </c>
      <c r="E5" s="53"/>
      <c r="F5" s="53" t="s">
        <v>218</v>
      </c>
      <c r="G5" s="53" t="s">
        <v>216</v>
      </c>
      <c r="H5" s="53"/>
      <c r="I5" s="51">
        <v>10</v>
      </c>
      <c r="J5" s="51">
        <v>0</v>
      </c>
      <c r="K5" s="53" t="s">
        <v>0</v>
      </c>
      <c r="L5" s="53">
        <v>1</v>
      </c>
      <c r="M5" s="53"/>
      <c r="N5" s="53"/>
      <c r="O5" s="54" t="s">
        <v>217</v>
      </c>
      <c r="P5" s="55"/>
      <c r="Q5" s="53" t="s">
        <v>306</v>
      </c>
      <c r="R5" s="53"/>
    </row>
    <row r="6" spans="1:18">
      <c r="A6" s="53"/>
      <c r="B6" s="51"/>
      <c r="C6" s="53" t="s">
        <v>407</v>
      </c>
      <c r="D6" s="53">
        <v>2</v>
      </c>
      <c r="E6" s="53"/>
      <c r="F6" s="53" t="s">
        <v>219</v>
      </c>
      <c r="G6" s="53" t="s">
        <v>214</v>
      </c>
      <c r="H6" s="53">
        <v>100</v>
      </c>
      <c r="I6" s="51"/>
      <c r="J6" s="51"/>
      <c r="K6" s="53" t="s">
        <v>0</v>
      </c>
      <c r="L6" s="53"/>
      <c r="M6" s="53"/>
      <c r="N6" s="53"/>
      <c r="O6" s="54" t="s">
        <v>215</v>
      </c>
      <c r="P6" s="55"/>
      <c r="Q6" s="53" t="s">
        <v>307</v>
      </c>
      <c r="R6" s="53"/>
    </row>
    <row r="7" spans="1:18">
      <c r="A7" s="53"/>
      <c r="B7" s="51"/>
      <c r="C7" s="53" t="s">
        <v>407</v>
      </c>
      <c r="D7" s="53">
        <v>3</v>
      </c>
      <c r="E7" s="53"/>
      <c r="F7" s="53" t="s">
        <v>220</v>
      </c>
      <c r="G7" s="53" t="s">
        <v>214</v>
      </c>
      <c r="H7" s="53">
        <v>200</v>
      </c>
      <c r="I7" s="51"/>
      <c r="J7" s="51"/>
      <c r="K7" s="53" t="s">
        <v>0</v>
      </c>
      <c r="L7" s="53"/>
      <c r="M7" s="53"/>
      <c r="N7" s="53"/>
      <c r="O7" s="54" t="s">
        <v>215</v>
      </c>
      <c r="P7" s="55"/>
      <c r="Q7" s="53" t="s">
        <v>327</v>
      </c>
      <c r="R7" s="53"/>
    </row>
    <row r="8" spans="1:18">
      <c r="A8" s="53"/>
      <c r="B8" s="51"/>
      <c r="C8" s="53" t="s">
        <v>407</v>
      </c>
      <c r="D8" s="53">
        <v>4</v>
      </c>
      <c r="E8" s="53"/>
      <c r="F8" s="53" t="s">
        <v>221</v>
      </c>
      <c r="G8" s="53" t="s">
        <v>214</v>
      </c>
      <c r="H8" s="53">
        <v>100</v>
      </c>
      <c r="I8" s="51"/>
      <c r="J8" s="51"/>
      <c r="K8" s="53"/>
      <c r="L8" s="53"/>
      <c r="M8" s="53"/>
      <c r="N8" s="53"/>
      <c r="O8" s="54" t="s">
        <v>215</v>
      </c>
      <c r="P8" s="55"/>
      <c r="Q8" s="53" t="s">
        <v>328</v>
      </c>
      <c r="R8" s="53"/>
    </row>
    <row r="9" spans="1:18">
      <c r="A9" s="53"/>
      <c r="B9" s="51"/>
      <c r="C9" s="53" t="s">
        <v>407</v>
      </c>
      <c r="D9" s="53">
        <v>5</v>
      </c>
      <c r="E9" s="53"/>
      <c r="F9" s="53" t="s">
        <v>222</v>
      </c>
      <c r="G9" s="53" t="s">
        <v>223</v>
      </c>
      <c r="H9" s="53"/>
      <c r="I9" s="51">
        <v>10</v>
      </c>
      <c r="J9" s="51">
        <v>2</v>
      </c>
      <c r="K9" s="53" t="s">
        <v>0</v>
      </c>
      <c r="L9" s="53"/>
      <c r="M9" s="53"/>
      <c r="N9" s="53"/>
      <c r="O9" s="54" t="s">
        <v>224</v>
      </c>
      <c r="P9" s="55"/>
      <c r="Q9" s="53" t="s">
        <v>329</v>
      </c>
      <c r="R9" s="53"/>
    </row>
    <row r="10" spans="1:18">
      <c r="A10" s="53"/>
      <c r="B10" s="51"/>
      <c r="C10" s="53" t="s">
        <v>407</v>
      </c>
      <c r="D10" s="53">
        <v>6</v>
      </c>
      <c r="E10" s="53"/>
      <c r="F10" s="53" t="s">
        <v>225</v>
      </c>
      <c r="G10" s="53" t="s">
        <v>223</v>
      </c>
      <c r="H10" s="53"/>
      <c r="I10" s="51">
        <v>10</v>
      </c>
      <c r="J10" s="51">
        <v>2</v>
      </c>
      <c r="K10" s="53"/>
      <c r="L10" s="53"/>
      <c r="M10" s="53"/>
      <c r="N10" s="53"/>
      <c r="O10" s="54" t="s">
        <v>224</v>
      </c>
      <c r="P10" s="55"/>
      <c r="Q10" s="53" t="s">
        <v>330</v>
      </c>
      <c r="R10" s="53"/>
    </row>
    <row r="11" spans="1:18">
      <c r="A11" s="53"/>
      <c r="B11" s="51"/>
      <c r="C11" s="53" t="s">
        <v>407</v>
      </c>
      <c r="D11" s="53">
        <v>7</v>
      </c>
      <c r="E11" s="53"/>
      <c r="F11" s="53" t="s">
        <v>226</v>
      </c>
      <c r="G11" s="53" t="s">
        <v>214</v>
      </c>
      <c r="H11" s="53">
        <v>100</v>
      </c>
      <c r="I11" s="51"/>
      <c r="J11" s="51"/>
      <c r="K11" s="53"/>
      <c r="L11" s="53"/>
      <c r="M11" s="53"/>
      <c r="N11" s="53"/>
      <c r="O11" s="54" t="s">
        <v>215</v>
      </c>
      <c r="P11" s="55"/>
      <c r="Q11" s="53" t="s">
        <v>331</v>
      </c>
      <c r="R11" s="53"/>
    </row>
    <row r="12" spans="1:18">
      <c r="A12" s="53"/>
      <c r="B12" s="51"/>
      <c r="C12" s="53" t="s">
        <v>407</v>
      </c>
      <c r="D12" s="53">
        <v>8</v>
      </c>
      <c r="E12" s="53"/>
      <c r="F12" s="53" t="s">
        <v>227</v>
      </c>
      <c r="G12" s="53" t="s">
        <v>214</v>
      </c>
      <c r="H12" s="53">
        <v>200</v>
      </c>
      <c r="I12" s="51"/>
      <c r="J12" s="51"/>
      <c r="K12" s="53"/>
      <c r="L12" s="53"/>
      <c r="M12" s="53"/>
      <c r="N12" s="53"/>
      <c r="O12" s="54" t="s">
        <v>215</v>
      </c>
      <c r="P12" s="55"/>
      <c r="Q12" s="53" t="s">
        <v>332</v>
      </c>
      <c r="R12" s="53"/>
    </row>
  </sheetData>
  <dataValidations count="1">
    <dataValidation type="list" allowBlank="1" showInputMessage="1" showErrorMessage="1" sqref="R5:R12">
      <formula1>"Yes, No"</formula1>
    </dataValidation>
  </dataValidations>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_E01_DD">
    <tabColor rgb="FFD1B2E8"/>
    <outlinePr summaryBelow="0" summaryRight="0"/>
  </sheetPr>
  <dimension ref="A1:AJ22"/>
  <sheetViews>
    <sheetView zoomScale="85" zoomScaleNormal="85" workbookViewId="0">
      <pane xSplit="2" ySplit="11" topLeftCell="C12" activePane="bottomRight" state="frozen"/>
      <selection pane="topRight" activeCell="C1" sqref="C1"/>
      <selection pane="bottomLeft" activeCell="A12" sqref="A12"/>
      <selection pane="bottomRight" activeCell="C12" sqref="C12"/>
    </sheetView>
  </sheetViews>
  <sheetFormatPr defaultColWidth="10.28515625" defaultRowHeight="15" outlineLevelRow="1"/>
  <cols>
    <col min="1" max="1" width="20.140625" style="47" customWidth="1"/>
    <col min="2" max="2" width="14.28515625" style="47" customWidth="1"/>
    <col min="3" max="3" width="16.28515625" style="47" bestFit="1" customWidth="1"/>
    <col min="4" max="4" width="12.7109375" style="47" customWidth="1"/>
    <col min="5" max="5" width="16.28515625" style="47" bestFit="1" customWidth="1"/>
    <col min="6" max="6" width="17.42578125" style="47" bestFit="1" customWidth="1"/>
    <col min="7" max="7" width="14" style="47" bestFit="1" customWidth="1"/>
    <col min="8" max="8" width="14.42578125" style="47" customWidth="1"/>
    <col min="9" max="9" width="13.140625" style="47" customWidth="1"/>
    <col min="10" max="10" width="21.7109375" style="47" customWidth="1"/>
    <col min="11" max="11" width="13.5703125" style="47" bestFit="1" customWidth="1"/>
    <col min="12" max="12" width="22.140625" style="47" customWidth="1"/>
    <col min="13" max="13" width="21" style="47" customWidth="1"/>
    <col min="14" max="14" width="12.28515625" style="47" bestFit="1" customWidth="1"/>
    <col min="15" max="15" width="29.28515625" style="47" bestFit="1" customWidth="1"/>
    <col min="16" max="16" width="18.140625" style="47" customWidth="1"/>
    <col min="17" max="17" width="15.140625" style="47" customWidth="1"/>
    <col min="18" max="18" width="20.140625" style="47" customWidth="1"/>
    <col min="19" max="19" width="12.5703125" style="47" customWidth="1"/>
    <col min="20" max="20" width="16.7109375" style="47" customWidth="1"/>
    <col min="21" max="21" width="20.5703125" style="47" customWidth="1"/>
    <col min="22" max="22" width="14.85546875" style="47" bestFit="1" customWidth="1"/>
    <col min="23" max="23" width="18.140625" style="47" customWidth="1"/>
    <col min="24" max="24" width="18" style="4" customWidth="1"/>
    <col min="25" max="25" width="18.140625" style="47" customWidth="1"/>
    <col min="26" max="26" width="16.85546875" style="47" bestFit="1" customWidth="1"/>
    <col min="27" max="27" width="25" style="47" bestFit="1" customWidth="1"/>
    <col min="28" max="28" width="17.42578125" style="47" bestFit="1" customWidth="1"/>
    <col min="29" max="29" width="32.28515625" style="47" bestFit="1" customWidth="1"/>
    <col min="30" max="30" width="13.42578125" style="47" bestFit="1" customWidth="1"/>
    <col min="31" max="31" width="15.28515625" style="47" bestFit="1" customWidth="1"/>
    <col min="32" max="32" width="15.5703125" style="47" bestFit="1" customWidth="1"/>
    <col min="33" max="33" width="20.42578125" style="47" bestFit="1" customWidth="1"/>
    <col min="34" max="34" width="23.5703125" style="47" bestFit="1" customWidth="1"/>
    <col min="35" max="35" width="28.140625" style="47" bestFit="1" customWidth="1"/>
    <col min="36" max="36" width="23.85546875" style="47" bestFit="1" customWidth="1"/>
    <col min="37" max="16384" width="10.28515625" style="47"/>
  </cols>
  <sheetData>
    <row r="1" spans="1:36" ht="21">
      <c r="A1" s="45" t="s">
        <v>228</v>
      </c>
      <c r="B1" s="46"/>
      <c r="C1" s="46"/>
      <c r="D1" s="46"/>
      <c r="E1" s="46"/>
      <c r="F1" s="46"/>
      <c r="G1" s="46"/>
      <c r="H1" s="46"/>
      <c r="I1" s="46"/>
      <c r="J1" s="46"/>
      <c r="K1" s="46"/>
      <c r="L1" s="46"/>
      <c r="M1" s="46"/>
      <c r="N1" s="46"/>
      <c r="O1" s="46"/>
      <c r="P1" s="46"/>
      <c r="Q1" s="46"/>
      <c r="R1" s="46"/>
      <c r="S1" s="46"/>
      <c r="T1" s="46"/>
      <c r="U1" s="46"/>
      <c r="V1" s="46"/>
      <c r="W1" s="46"/>
      <c r="X1" s="46"/>
      <c r="Y1" s="46"/>
      <c r="Z1" s="46"/>
      <c r="AA1" s="46"/>
      <c r="AB1" s="46"/>
      <c r="AC1" s="46"/>
      <c r="AD1" s="46"/>
      <c r="AE1" s="46"/>
      <c r="AF1" s="46"/>
      <c r="AG1" s="46"/>
      <c r="AH1" s="46"/>
      <c r="AI1" s="46"/>
      <c r="AJ1" s="46"/>
    </row>
    <row r="2" spans="1:36">
      <c r="A2" s="48"/>
      <c r="B2" s="33"/>
      <c r="C2" s="33"/>
      <c r="D2" s="33"/>
      <c r="E2" s="33"/>
      <c r="F2" s="33"/>
      <c r="G2" s="33"/>
      <c r="H2" s="33"/>
      <c r="I2" s="33"/>
      <c r="J2" s="33"/>
      <c r="K2" s="33"/>
      <c r="L2" s="33"/>
      <c r="M2" s="33"/>
      <c r="N2" s="33"/>
      <c r="O2" s="33"/>
      <c r="P2" s="33"/>
      <c r="Q2" s="33"/>
      <c r="R2" s="33"/>
      <c r="S2" s="33"/>
      <c r="T2" s="33"/>
      <c r="U2" s="33"/>
      <c r="V2" s="33"/>
      <c r="W2" s="33"/>
      <c r="X2" s="33"/>
      <c r="Y2" s="33"/>
      <c r="Z2" s="33"/>
      <c r="AA2" s="33"/>
      <c r="AB2" s="33"/>
      <c r="AC2" s="33"/>
      <c r="AD2" s="33"/>
      <c r="AE2" s="33"/>
      <c r="AF2" s="33"/>
      <c r="AG2" s="33"/>
      <c r="AH2" s="33"/>
      <c r="AI2" s="33"/>
      <c r="AJ2" s="33"/>
    </row>
    <row r="3" spans="1:36" ht="18.75">
      <c r="A3" s="1" t="s">
        <v>229</v>
      </c>
      <c r="B3" s="27"/>
      <c r="C3" s="27"/>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3"/>
    </row>
    <row r="4" spans="1:36" s="57" customFormat="1" outlineLevel="1">
      <c r="A4" s="48" t="s">
        <v>230</v>
      </c>
      <c r="B4" s="33"/>
      <c r="C4" s="33"/>
      <c r="D4" s="33"/>
      <c r="E4" s="33"/>
      <c r="F4" s="33"/>
      <c r="G4" s="33"/>
      <c r="H4" s="48" t="s">
        <v>340</v>
      </c>
      <c r="I4" s="33"/>
      <c r="J4" s="33"/>
      <c r="K4" s="33"/>
      <c r="L4" s="33"/>
      <c r="M4" s="33"/>
      <c r="N4" s="33"/>
      <c r="O4" s="33"/>
      <c r="P4" s="48" t="s">
        <v>215</v>
      </c>
      <c r="Q4" s="33"/>
      <c r="R4" s="33"/>
      <c r="S4" s="33"/>
      <c r="T4" s="33"/>
      <c r="U4" s="33"/>
      <c r="V4" s="48" t="s">
        <v>231</v>
      </c>
      <c r="W4" s="33"/>
      <c r="X4" s="33"/>
      <c r="Y4" s="33"/>
      <c r="Z4" s="33"/>
      <c r="AA4" s="33"/>
      <c r="AB4" s="33"/>
      <c r="AC4" s="33"/>
      <c r="AD4" s="33"/>
      <c r="AE4" s="48" t="s">
        <v>341</v>
      </c>
      <c r="AF4" s="33"/>
      <c r="AG4" s="33"/>
      <c r="AH4" s="33"/>
      <c r="AI4" s="33"/>
      <c r="AJ4" s="33"/>
    </row>
    <row r="5" spans="1:36" outlineLevel="1">
      <c r="A5" s="58"/>
      <c r="B5" s="59" t="s">
        <v>203</v>
      </c>
      <c r="C5" s="59" t="s">
        <v>232</v>
      </c>
      <c r="D5" s="59" t="s">
        <v>233</v>
      </c>
      <c r="E5" s="59"/>
      <c r="F5" s="59"/>
      <c r="G5" s="59"/>
      <c r="H5" s="56" t="s">
        <v>234</v>
      </c>
      <c r="I5" s="56" t="s">
        <v>235</v>
      </c>
      <c r="J5" s="56" t="s">
        <v>236</v>
      </c>
      <c r="K5" s="56" t="s">
        <v>237</v>
      </c>
      <c r="L5" s="56" t="s">
        <v>238</v>
      </c>
      <c r="M5" s="56" t="s">
        <v>239</v>
      </c>
      <c r="N5" s="56"/>
      <c r="O5" s="56"/>
      <c r="P5" s="60" t="s">
        <v>240</v>
      </c>
      <c r="Q5" s="60" t="s">
        <v>241</v>
      </c>
      <c r="R5" s="60" t="s">
        <v>242</v>
      </c>
      <c r="S5" s="60" t="s">
        <v>243</v>
      </c>
      <c r="T5" s="60" t="s">
        <v>244</v>
      </c>
      <c r="U5" s="60" t="s">
        <v>245</v>
      </c>
      <c r="V5" s="61" t="s">
        <v>342</v>
      </c>
      <c r="W5" s="61" t="s">
        <v>343</v>
      </c>
      <c r="X5" s="61" t="s">
        <v>246</v>
      </c>
      <c r="Y5" s="61" t="s">
        <v>247</v>
      </c>
      <c r="Z5" s="61" t="s">
        <v>248</v>
      </c>
      <c r="AA5" s="61" t="s">
        <v>249</v>
      </c>
      <c r="AB5" s="61" t="s">
        <v>250</v>
      </c>
      <c r="AC5" s="61" t="s">
        <v>251</v>
      </c>
      <c r="AD5" s="61" t="s">
        <v>252</v>
      </c>
      <c r="AE5" s="62" t="s">
        <v>253</v>
      </c>
      <c r="AF5" s="62" t="s">
        <v>254</v>
      </c>
      <c r="AG5" s="62" t="s">
        <v>255</v>
      </c>
      <c r="AH5" s="62" t="s">
        <v>256</v>
      </c>
      <c r="AI5" s="62" t="s">
        <v>257</v>
      </c>
      <c r="AJ5" s="63" t="s">
        <v>258</v>
      </c>
    </row>
    <row r="6" spans="1:36" outlineLevel="1">
      <c r="A6" s="44"/>
      <c r="B6" s="64" t="s">
        <v>259</v>
      </c>
      <c r="C6" s="64"/>
      <c r="D6" s="64" t="s">
        <v>260</v>
      </c>
      <c r="E6" s="64"/>
      <c r="F6" s="64"/>
      <c r="G6" s="64"/>
      <c r="H6" s="65" t="s">
        <v>261</v>
      </c>
      <c r="I6" s="64" t="s">
        <v>262</v>
      </c>
      <c r="J6" s="64" t="s">
        <v>263</v>
      </c>
      <c r="K6" s="64" t="s">
        <v>264</v>
      </c>
      <c r="L6" s="64" t="s">
        <v>265</v>
      </c>
      <c r="M6" s="64" t="s">
        <v>266</v>
      </c>
      <c r="N6" s="64"/>
      <c r="O6" s="64"/>
      <c r="P6" s="65" t="s">
        <v>267</v>
      </c>
      <c r="Q6" s="65" t="s">
        <v>268</v>
      </c>
      <c r="R6" s="64" t="s">
        <v>266</v>
      </c>
      <c r="S6" s="64" t="s">
        <v>269</v>
      </c>
      <c r="T6" s="64" t="s">
        <v>270</v>
      </c>
      <c r="U6" s="64"/>
      <c r="V6" s="65" t="s">
        <v>344</v>
      </c>
      <c r="W6" s="65" t="s">
        <v>345</v>
      </c>
      <c r="X6" s="64" t="s">
        <v>264</v>
      </c>
      <c r="Y6" s="64" t="s">
        <v>346</v>
      </c>
      <c r="Z6" s="64" t="s">
        <v>262</v>
      </c>
      <c r="AA6" s="64" t="s">
        <v>347</v>
      </c>
      <c r="AB6" s="64" t="s">
        <v>271</v>
      </c>
      <c r="AC6" s="64"/>
      <c r="AD6" s="66" t="s">
        <v>348</v>
      </c>
      <c r="AE6" s="66" t="s">
        <v>349</v>
      </c>
      <c r="AF6" s="66" t="s">
        <v>350</v>
      </c>
      <c r="AG6" s="66" t="s">
        <v>351</v>
      </c>
      <c r="AH6" s="66" t="s">
        <v>352</v>
      </c>
      <c r="AI6" s="66" t="s">
        <v>353</v>
      </c>
      <c r="AJ6" s="66" t="s">
        <v>354</v>
      </c>
    </row>
    <row r="7" spans="1:36">
      <c r="A7" s="33"/>
      <c r="B7" s="33"/>
      <c r="C7" s="33"/>
      <c r="D7" s="33"/>
      <c r="E7" s="33"/>
      <c r="F7" s="33"/>
      <c r="G7" s="33"/>
      <c r="H7" s="33"/>
      <c r="I7" s="33"/>
      <c r="J7" s="33"/>
      <c r="K7" s="33"/>
      <c r="L7" s="33"/>
      <c r="M7" s="33"/>
      <c r="N7" s="33"/>
      <c r="O7" s="33"/>
      <c r="P7" s="33"/>
      <c r="Q7" s="33"/>
      <c r="R7" s="33"/>
      <c r="S7" s="33"/>
      <c r="T7" s="33"/>
      <c r="U7" s="33"/>
      <c r="V7" s="33"/>
      <c r="W7" s="33"/>
      <c r="X7" s="33"/>
      <c r="Y7" s="33"/>
      <c r="Z7" s="33"/>
      <c r="AA7" s="33"/>
      <c r="AB7" s="33"/>
      <c r="AC7" s="33"/>
      <c r="AD7" s="33"/>
      <c r="AE7" s="33"/>
      <c r="AF7" s="33"/>
      <c r="AG7" s="33"/>
      <c r="AH7" s="33"/>
      <c r="AI7" s="33"/>
      <c r="AJ7" s="33"/>
    </row>
    <row r="8" spans="1:36">
      <c r="A8" s="33"/>
      <c r="B8" s="33"/>
      <c r="C8" s="33"/>
      <c r="D8" s="33"/>
      <c r="E8" s="33"/>
      <c r="F8" s="33"/>
      <c r="G8" s="33"/>
      <c r="H8" s="33"/>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row>
    <row r="9" spans="1:36" ht="18.75">
      <c r="A9" s="1" t="s">
        <v>272</v>
      </c>
      <c r="B9" s="27"/>
      <c r="C9" s="27"/>
      <c r="D9" s="27"/>
      <c r="E9" s="27"/>
      <c r="F9" s="27"/>
      <c r="G9" s="27"/>
      <c r="H9" s="27"/>
      <c r="I9" s="27"/>
      <c r="J9" s="27"/>
      <c r="K9" s="27"/>
      <c r="L9" s="27"/>
      <c r="M9" s="27"/>
      <c r="N9" s="27"/>
      <c r="O9" s="27"/>
      <c r="P9" s="27"/>
      <c r="Q9" s="27"/>
      <c r="R9" s="27"/>
      <c r="S9" s="27"/>
      <c r="T9" s="27"/>
      <c r="U9" s="27"/>
      <c r="V9" s="27"/>
      <c r="W9" s="27"/>
      <c r="X9" s="27"/>
      <c r="Y9" s="27"/>
      <c r="Z9" s="27"/>
      <c r="AA9" s="27"/>
      <c r="AB9" s="27"/>
      <c r="AC9" s="27"/>
      <c r="AD9" s="27"/>
      <c r="AE9" s="27"/>
      <c r="AF9" s="27"/>
      <c r="AG9" s="27"/>
      <c r="AH9" s="27"/>
      <c r="AI9" s="27"/>
      <c r="AJ9" s="3"/>
    </row>
    <row r="10" spans="1:36" outlineLevel="1">
      <c r="A10" s="48" t="s">
        <v>230</v>
      </c>
      <c r="B10" s="33"/>
      <c r="C10" s="33"/>
      <c r="D10" s="33"/>
      <c r="E10" s="33"/>
      <c r="F10" s="33"/>
      <c r="G10" s="33"/>
      <c r="H10" s="48" t="s">
        <v>340</v>
      </c>
      <c r="I10" s="33"/>
      <c r="J10" s="33"/>
      <c r="K10" s="33"/>
      <c r="L10" s="33"/>
      <c r="M10" s="33"/>
      <c r="N10" s="33"/>
      <c r="O10" s="33"/>
      <c r="P10" s="48" t="s">
        <v>215</v>
      </c>
      <c r="Q10" s="33"/>
      <c r="R10" s="33"/>
      <c r="S10" s="33"/>
      <c r="T10" s="33"/>
      <c r="U10" s="33"/>
      <c r="V10" s="48" t="s">
        <v>231</v>
      </c>
      <c r="W10" s="33"/>
      <c r="X10" s="33"/>
      <c r="Y10" s="33"/>
      <c r="Z10" s="33"/>
      <c r="AA10" s="33"/>
      <c r="AB10" s="33"/>
      <c r="AC10" s="33"/>
      <c r="AD10" s="33"/>
      <c r="AE10" s="48" t="s">
        <v>341</v>
      </c>
      <c r="AF10" s="33"/>
      <c r="AG10" s="33"/>
      <c r="AH10" s="33"/>
      <c r="AI10" s="33"/>
      <c r="AJ10" s="33"/>
    </row>
    <row r="11" spans="1:36" s="76" customFormat="1" outlineLevel="1">
      <c r="A11" s="67" t="s">
        <v>273</v>
      </c>
      <c r="B11" s="67" t="s">
        <v>203</v>
      </c>
      <c r="C11" s="67" t="s">
        <v>232</v>
      </c>
      <c r="D11" s="67" t="s">
        <v>233</v>
      </c>
      <c r="E11" s="67" t="s">
        <v>182</v>
      </c>
      <c r="F11" s="67" t="s">
        <v>183</v>
      </c>
      <c r="G11" s="67" t="s">
        <v>168</v>
      </c>
      <c r="H11" s="68" t="s">
        <v>234</v>
      </c>
      <c r="I11" s="50" t="s">
        <v>235</v>
      </c>
      <c r="J11" s="50" t="s">
        <v>236</v>
      </c>
      <c r="K11" s="50" t="s">
        <v>237</v>
      </c>
      <c r="L11" s="50" t="s">
        <v>238</v>
      </c>
      <c r="M11" s="50" t="s">
        <v>239</v>
      </c>
      <c r="N11" s="50" t="s">
        <v>274</v>
      </c>
      <c r="O11" s="50" t="s">
        <v>275</v>
      </c>
      <c r="P11" s="69" t="s">
        <v>240</v>
      </c>
      <c r="Q11" s="70" t="s">
        <v>241</v>
      </c>
      <c r="R11" s="70" t="s">
        <v>242</v>
      </c>
      <c r="S11" s="70" t="s">
        <v>243</v>
      </c>
      <c r="T11" s="70" t="s">
        <v>244</v>
      </c>
      <c r="U11" s="70" t="s">
        <v>245</v>
      </c>
      <c r="V11" s="71" t="s">
        <v>342</v>
      </c>
      <c r="W11" s="72" t="s">
        <v>343</v>
      </c>
      <c r="X11" s="73" t="s">
        <v>355</v>
      </c>
      <c r="Y11" s="72" t="s">
        <v>356</v>
      </c>
      <c r="Z11" s="73" t="s">
        <v>357</v>
      </c>
      <c r="AA11" s="73" t="s">
        <v>358</v>
      </c>
      <c r="AB11" s="72" t="s">
        <v>359</v>
      </c>
      <c r="AC11" s="73" t="s">
        <v>360</v>
      </c>
      <c r="AD11" s="73" t="s">
        <v>252</v>
      </c>
      <c r="AE11" s="74" t="s">
        <v>361</v>
      </c>
      <c r="AF11" s="75" t="s">
        <v>362</v>
      </c>
      <c r="AG11" s="75" t="s">
        <v>363</v>
      </c>
      <c r="AH11" s="75" t="s">
        <v>256</v>
      </c>
      <c r="AI11" s="75" t="s">
        <v>364</v>
      </c>
      <c r="AJ11" s="75" t="s">
        <v>365</v>
      </c>
    </row>
    <row r="12" spans="1:36" outlineLevel="1">
      <c r="A12" s="77" t="s">
        <v>306</v>
      </c>
      <c r="B12" s="77" t="s">
        <v>217</v>
      </c>
      <c r="C12" s="77"/>
      <c r="D12" s="77"/>
      <c r="E12" s="77"/>
      <c r="F12" s="77"/>
      <c r="G12" s="77"/>
      <c r="H12" s="78"/>
      <c r="I12" s="77"/>
      <c r="J12" s="77"/>
      <c r="K12" s="77"/>
      <c r="L12" s="77"/>
      <c r="M12" s="77"/>
      <c r="N12" s="77"/>
      <c r="O12" s="77"/>
      <c r="P12" s="78"/>
      <c r="Q12" s="77"/>
      <c r="R12" s="77"/>
      <c r="S12" s="77"/>
      <c r="T12" s="77"/>
      <c r="U12" s="77"/>
      <c r="V12" s="78"/>
      <c r="W12" s="77"/>
      <c r="X12" s="77"/>
      <c r="Y12" s="77"/>
      <c r="Z12" s="77"/>
      <c r="AA12" s="77"/>
      <c r="AB12" s="77"/>
      <c r="AC12" s="77"/>
      <c r="AD12" s="77"/>
      <c r="AE12" s="78"/>
      <c r="AF12" s="77"/>
      <c r="AG12" s="77"/>
      <c r="AH12" s="77"/>
      <c r="AI12" s="77"/>
      <c r="AJ12" s="77"/>
    </row>
    <row r="13" spans="1:36" outlineLevel="1">
      <c r="A13" s="77" t="s">
        <v>307</v>
      </c>
      <c r="B13" s="77" t="s">
        <v>215</v>
      </c>
      <c r="C13" s="77"/>
      <c r="D13" s="77"/>
      <c r="E13" s="77"/>
      <c r="F13" s="77"/>
      <c r="G13" s="77"/>
      <c r="H13" s="78"/>
      <c r="I13" s="77"/>
      <c r="J13" s="77"/>
      <c r="K13" s="77"/>
      <c r="L13" s="77"/>
      <c r="M13" s="77"/>
      <c r="N13" s="77"/>
      <c r="O13" s="77"/>
      <c r="P13" s="78"/>
      <c r="Q13" s="77"/>
      <c r="R13" s="77"/>
      <c r="S13" s="77"/>
      <c r="T13" s="77"/>
      <c r="U13" s="77"/>
      <c r="V13" s="78"/>
      <c r="W13" s="77"/>
      <c r="X13" s="77"/>
      <c r="Y13" s="77"/>
      <c r="Z13" s="77"/>
      <c r="AA13" s="77"/>
      <c r="AB13" s="77"/>
      <c r="AC13" s="77"/>
      <c r="AD13" s="77"/>
      <c r="AE13" s="78"/>
      <c r="AF13" s="77"/>
      <c r="AG13" s="77"/>
      <c r="AH13" s="77"/>
      <c r="AI13" s="77"/>
      <c r="AJ13" s="77"/>
    </row>
    <row r="14" spans="1:36" outlineLevel="1">
      <c r="A14" s="77" t="s">
        <v>327</v>
      </c>
      <c r="B14" s="77" t="s">
        <v>215</v>
      </c>
      <c r="C14" s="77"/>
      <c r="D14" s="77"/>
      <c r="E14" s="77"/>
      <c r="F14" s="77"/>
      <c r="G14" s="77"/>
      <c r="H14" s="78"/>
      <c r="I14" s="77"/>
      <c r="J14" s="77"/>
      <c r="K14" s="77"/>
      <c r="L14" s="77"/>
      <c r="M14" s="77"/>
      <c r="N14" s="77"/>
      <c r="O14" s="77"/>
      <c r="P14" s="78"/>
      <c r="Q14" s="77"/>
      <c r="R14" s="77"/>
      <c r="S14" s="77"/>
      <c r="T14" s="77"/>
      <c r="U14" s="77"/>
      <c r="V14" s="78"/>
      <c r="W14" s="77"/>
      <c r="X14" s="77"/>
      <c r="Y14" s="77"/>
      <c r="Z14" s="77"/>
      <c r="AA14" s="77"/>
      <c r="AB14" s="77"/>
      <c r="AC14" s="77"/>
      <c r="AD14" s="77"/>
      <c r="AE14" s="78"/>
      <c r="AF14" s="77"/>
      <c r="AG14" s="77"/>
      <c r="AH14" s="77"/>
      <c r="AI14" s="77"/>
      <c r="AJ14" s="77"/>
    </row>
    <row r="15" spans="1:36" outlineLevel="1">
      <c r="A15" s="77" t="s">
        <v>328</v>
      </c>
      <c r="B15" s="77" t="s">
        <v>215</v>
      </c>
      <c r="C15" s="77"/>
      <c r="D15" s="77"/>
      <c r="E15" s="77"/>
      <c r="F15" s="77"/>
      <c r="G15" s="77"/>
      <c r="H15" s="78"/>
      <c r="I15" s="77"/>
      <c r="J15" s="77"/>
      <c r="K15" s="77"/>
      <c r="L15" s="77"/>
      <c r="M15" s="77"/>
      <c r="N15" s="77"/>
      <c r="O15" s="77"/>
      <c r="P15" s="78"/>
      <c r="Q15" s="77"/>
      <c r="R15" s="77"/>
      <c r="S15" s="77"/>
      <c r="T15" s="77"/>
      <c r="U15" s="77"/>
      <c r="V15" s="78"/>
      <c r="W15" s="77"/>
      <c r="X15" s="77"/>
      <c r="Y15" s="77"/>
      <c r="Z15" s="77"/>
      <c r="AA15" s="77"/>
      <c r="AB15" s="77"/>
      <c r="AC15" s="77"/>
      <c r="AD15" s="77"/>
      <c r="AE15" s="78"/>
      <c r="AF15" s="77"/>
      <c r="AG15" s="77"/>
      <c r="AH15" s="77"/>
      <c r="AI15" s="77"/>
      <c r="AJ15" s="77"/>
    </row>
    <row r="16" spans="1:36" outlineLevel="1">
      <c r="A16" s="77" t="s">
        <v>329</v>
      </c>
      <c r="B16" s="77" t="s">
        <v>224</v>
      </c>
      <c r="C16" s="77"/>
      <c r="D16" s="77"/>
      <c r="E16" s="77"/>
      <c r="F16" s="77"/>
      <c r="G16" s="77"/>
      <c r="H16" s="78"/>
      <c r="I16" s="77"/>
      <c r="J16" s="77"/>
      <c r="K16" s="77"/>
      <c r="L16" s="77"/>
      <c r="M16" s="77"/>
      <c r="N16" s="77"/>
      <c r="O16" s="77"/>
      <c r="P16" s="78"/>
      <c r="Q16" s="77"/>
      <c r="R16" s="77"/>
      <c r="S16" s="77"/>
      <c r="T16" s="77"/>
      <c r="U16" s="77"/>
      <c r="V16" s="78"/>
      <c r="W16" s="77"/>
      <c r="X16" s="77"/>
      <c r="Y16" s="77"/>
      <c r="Z16" s="77"/>
      <c r="AA16" s="77"/>
      <c r="AB16" s="77"/>
      <c r="AC16" s="77"/>
      <c r="AD16" s="77"/>
      <c r="AE16" s="78"/>
      <c r="AF16" s="77"/>
      <c r="AG16" s="77"/>
      <c r="AH16" s="77"/>
      <c r="AI16" s="77"/>
      <c r="AJ16" s="77"/>
    </row>
    <row r="17" spans="1:36" outlineLevel="1">
      <c r="A17" s="77" t="s">
        <v>330</v>
      </c>
      <c r="B17" s="77" t="s">
        <v>224</v>
      </c>
      <c r="C17" s="77"/>
      <c r="D17" s="77"/>
      <c r="E17" s="77"/>
      <c r="F17" s="77"/>
      <c r="G17" s="77"/>
      <c r="H17" s="78"/>
      <c r="I17" s="77"/>
      <c r="J17" s="77"/>
      <c r="K17" s="77"/>
      <c r="L17" s="77"/>
      <c r="M17" s="77"/>
      <c r="N17" s="77"/>
      <c r="O17" s="77"/>
      <c r="P17" s="78"/>
      <c r="Q17" s="77"/>
      <c r="R17" s="77"/>
      <c r="S17" s="77"/>
      <c r="T17" s="77"/>
      <c r="U17" s="77"/>
      <c r="V17" s="78"/>
      <c r="W17" s="77"/>
      <c r="X17" s="77"/>
      <c r="Y17" s="77"/>
      <c r="Z17" s="77"/>
      <c r="AA17" s="77"/>
      <c r="AB17" s="77"/>
      <c r="AC17" s="77"/>
      <c r="AD17" s="77"/>
      <c r="AE17" s="78"/>
      <c r="AF17" s="77"/>
      <c r="AG17" s="77"/>
      <c r="AH17" s="77"/>
      <c r="AI17" s="77"/>
      <c r="AJ17" s="77"/>
    </row>
    <row r="18" spans="1:36" outlineLevel="1">
      <c r="A18" s="77" t="s">
        <v>331</v>
      </c>
      <c r="B18" s="77" t="s">
        <v>215</v>
      </c>
      <c r="C18" s="77"/>
      <c r="D18" s="77"/>
      <c r="E18" s="77"/>
      <c r="F18" s="77"/>
      <c r="G18" s="77"/>
      <c r="H18" s="78"/>
      <c r="I18" s="77"/>
      <c r="J18" s="77"/>
      <c r="K18" s="77"/>
      <c r="L18" s="77"/>
      <c r="M18" s="77"/>
      <c r="N18" s="77"/>
      <c r="O18" s="77"/>
      <c r="P18" s="78"/>
      <c r="Q18" s="77"/>
      <c r="R18" s="77"/>
      <c r="S18" s="77"/>
      <c r="T18" s="77"/>
      <c r="U18" s="77"/>
      <c r="V18" s="78"/>
      <c r="W18" s="77"/>
      <c r="X18" s="77"/>
      <c r="Y18" s="77"/>
      <c r="Z18" s="77"/>
      <c r="AA18" s="77"/>
      <c r="AB18" s="77"/>
      <c r="AC18" s="77"/>
      <c r="AD18" s="77"/>
      <c r="AE18" s="78"/>
      <c r="AF18" s="77"/>
      <c r="AG18" s="77"/>
      <c r="AH18" s="77"/>
      <c r="AI18" s="77"/>
      <c r="AJ18" s="77"/>
    </row>
    <row r="19" spans="1:36" outlineLevel="1">
      <c r="A19" s="77" t="s">
        <v>332</v>
      </c>
      <c r="B19" s="77" t="s">
        <v>215</v>
      </c>
      <c r="C19" s="77"/>
      <c r="D19" s="77"/>
      <c r="E19" s="77"/>
      <c r="F19" s="77"/>
      <c r="G19" s="77"/>
      <c r="H19" s="78"/>
      <c r="I19" s="77"/>
      <c r="J19" s="77"/>
      <c r="K19" s="77"/>
      <c r="L19" s="77"/>
      <c r="M19" s="77"/>
      <c r="N19" s="77"/>
      <c r="O19" s="77"/>
      <c r="P19" s="78"/>
      <c r="Q19" s="77"/>
      <c r="R19" s="77"/>
      <c r="S19" s="77"/>
      <c r="T19" s="77"/>
      <c r="U19" s="77"/>
      <c r="V19" s="78"/>
      <c r="W19" s="77"/>
      <c r="X19" s="77"/>
      <c r="Y19" s="77"/>
      <c r="Z19" s="77"/>
      <c r="AA19" s="77"/>
      <c r="AB19" s="77"/>
      <c r="AC19" s="77"/>
      <c r="AD19" s="77"/>
      <c r="AE19" s="78"/>
      <c r="AF19" s="77"/>
      <c r="AG19" s="77"/>
      <c r="AH19" s="77"/>
      <c r="AI19" s="77"/>
      <c r="AJ19" s="77"/>
    </row>
    <row r="20" spans="1:36" outlineLevel="1">
      <c r="A20" s="77" t="s">
        <v>45</v>
      </c>
      <c r="B20" s="77" t="s">
        <v>215</v>
      </c>
      <c r="C20" s="77"/>
      <c r="D20" s="77"/>
      <c r="E20" s="77"/>
      <c r="F20" s="77"/>
      <c r="G20" s="77"/>
      <c r="H20" s="78"/>
      <c r="I20" s="77"/>
      <c r="J20" s="77"/>
      <c r="K20" s="77"/>
      <c r="L20" s="77"/>
      <c r="M20" s="77"/>
      <c r="N20" s="77"/>
      <c r="O20" s="77"/>
      <c r="P20" s="78"/>
      <c r="Q20" s="77"/>
      <c r="R20" s="77"/>
      <c r="S20" s="77"/>
      <c r="T20" s="77"/>
      <c r="U20" s="77"/>
      <c r="V20" s="78"/>
      <c r="W20" s="77"/>
      <c r="X20" s="77"/>
      <c r="Y20" s="77"/>
      <c r="Z20" s="77"/>
      <c r="AA20" s="77"/>
      <c r="AB20" s="77"/>
      <c r="AC20" s="77"/>
      <c r="AD20" s="77"/>
      <c r="AE20" s="78"/>
      <c r="AF20" s="77"/>
      <c r="AG20" s="77"/>
      <c r="AH20" s="77"/>
      <c r="AI20" s="77"/>
      <c r="AJ20" s="77"/>
    </row>
    <row r="21" spans="1:36" outlineLevel="1">
      <c r="A21" s="77" t="s">
        <v>333</v>
      </c>
      <c r="B21" s="77" t="s">
        <v>217</v>
      </c>
      <c r="C21" s="77"/>
      <c r="D21" s="77"/>
      <c r="E21" s="77"/>
      <c r="F21" s="77"/>
      <c r="G21" s="77"/>
      <c r="H21" s="78"/>
      <c r="I21" s="77"/>
      <c r="J21" s="77"/>
      <c r="K21" s="77"/>
      <c r="L21" s="77"/>
      <c r="M21" s="77"/>
      <c r="N21" s="77"/>
      <c r="O21" s="77"/>
      <c r="P21" s="78"/>
      <c r="Q21" s="77"/>
      <c r="R21" s="77"/>
      <c r="S21" s="77"/>
      <c r="T21" s="77"/>
      <c r="U21" s="77"/>
      <c r="V21" s="78"/>
      <c r="W21" s="77"/>
      <c r="X21" s="77"/>
      <c r="Y21" s="77"/>
      <c r="Z21" s="77"/>
      <c r="AA21" s="77"/>
      <c r="AB21" s="77"/>
      <c r="AC21" s="77"/>
      <c r="AD21" s="77"/>
      <c r="AE21" s="78"/>
      <c r="AF21" s="77"/>
      <c r="AG21" s="77"/>
      <c r="AH21" s="77"/>
      <c r="AI21" s="77"/>
      <c r="AJ21" s="77"/>
    </row>
    <row r="22" spans="1:36" outlineLevel="1">
      <c r="A22" s="33" t="s">
        <v>378</v>
      </c>
      <c r="B22" s="33" t="s">
        <v>217</v>
      </c>
      <c r="C22" s="121"/>
      <c r="D22" s="33"/>
      <c r="E22" s="33"/>
      <c r="F22" s="121"/>
      <c r="G22" s="121"/>
      <c r="H22" s="78"/>
      <c r="I22" s="33"/>
      <c r="J22" s="33"/>
      <c r="K22" s="33"/>
      <c r="L22" s="33"/>
      <c r="M22" s="33"/>
      <c r="N22" s="33"/>
      <c r="O22" s="33"/>
      <c r="P22" s="78"/>
      <c r="Q22" s="33"/>
      <c r="R22" s="33"/>
      <c r="S22" s="33"/>
      <c r="T22" s="33"/>
      <c r="U22" s="33"/>
      <c r="V22" s="122"/>
      <c r="W22" s="121"/>
      <c r="X22" s="121"/>
      <c r="Y22" s="121"/>
      <c r="Z22" s="33"/>
      <c r="AA22" s="121"/>
      <c r="AB22" s="33"/>
      <c r="AC22" s="33"/>
      <c r="AD22" s="121"/>
      <c r="AE22" s="78"/>
      <c r="AF22" s="33"/>
      <c r="AG22" s="33"/>
      <c r="AH22" s="33"/>
      <c r="AI22" s="33"/>
      <c r="AJ22" s="33"/>
    </row>
  </sheetData>
  <dataValidations count="13">
    <dataValidation type="list" allowBlank="1" showInputMessage="1" showErrorMessage="1" sqref="AC12:AC22">
      <formula1>"Next allowed date, Keep allowed duration"</formula1>
    </dataValidation>
    <dataValidation type="list" allowBlank="1" showInputMessage="1" showErrorMessage="1" sqref="AJ12:AJ22">
      <formula1>"TRUE, FALSE"</formula1>
    </dataValidation>
    <dataValidation type="list" allowBlank="1" showInputMessage="1" sqref="V12:V22">
      <formula1>"MM-dd-yyyy, MM/dd/yyyy, MMM-dd-yyyy, dd-MM-yyyy, dd-MMM-yyyy, dd/MM/yyyy, yyyy-MM-dd, yyyy-MMM-dd, yyyy/MM/dd"</formula1>
    </dataValidation>
    <dataValidation type="list" allowBlank="1" showInputMessage="1" showErrorMessage="1" sqref="AD12:AD22">
      <formula1>"String, Number"</formula1>
    </dataValidation>
    <dataValidation type="whole" allowBlank="1" showInputMessage="1" showErrorMessage="1" sqref="O12:O22">
      <formula1>-14</formula1>
      <formula2>14</formula2>
    </dataValidation>
    <dataValidation type="whole" operator="greaterThanOrEqual" allowBlank="1" showInputMessage="1" showErrorMessage="1" sqref="P12:Q22">
      <formula1>0</formula1>
    </dataValidation>
    <dataValidation type="list" allowBlank="1" showInputMessage="1" showErrorMessage="1" sqref="B12:B22">
      <formula1>"Boolean, Date, Double, File, Integer, String"</formula1>
    </dataValidation>
    <dataValidation type="list" allowBlank="1" showInputMessage="1" showErrorMessage="1" sqref="D12:D22">
      <formula1>"Y,N"</formula1>
    </dataValidation>
    <dataValidation type="decimal" operator="greaterThan" allowBlank="1" showInputMessage="1" showErrorMessage="1" sqref="H12:H22">
      <formula1>0</formula1>
    </dataValidation>
    <dataValidation type="decimal" operator="greaterThan" allowBlank="1" showInputMessage="1" showErrorMessage="1" sqref="I12:L22">
      <formula1>-9.99999999999999E+36</formula1>
    </dataValidation>
    <dataValidation type="list" allowBlank="1" showInputMessage="1" showErrorMessage="1" sqref="N12:N22">
      <formula1>"Round, Round Up, Round Down"</formula1>
    </dataValidation>
    <dataValidation type="list" allowBlank="1" showInputMessage="1" showErrorMessage="1" sqref="T12:T22">
      <formula1>"Email Address, JSON, File Path, URL, Hong Kong ID, China ID, Singapore NRIC"</formula1>
    </dataValidation>
    <dataValidation type="list" allowBlank="1" showInputMessage="1" showErrorMessage="1" sqref="U12:U22">
      <formula1>"Lower, Upper, Upper First Letter"</formula1>
    </dataValidation>
  </dataValidation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_A03_AC">
    <tabColor theme="3" tint="0.59999389629810485"/>
    <outlinePr summaryBelow="0" summaryRight="0"/>
  </sheetPr>
  <dimension ref="A1:B4"/>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10.42578125" defaultRowHeight="15"/>
  <cols>
    <col min="1" max="1" width="33.140625" style="15" bestFit="1" customWidth="1"/>
    <col min="2" max="2" width="64.7109375" style="15" customWidth="1"/>
    <col min="3" max="16384" width="10.42578125" style="15"/>
  </cols>
  <sheetData>
    <row r="1" spans="1:2" s="14" customFormat="1" ht="18.75">
      <c r="A1" s="1" t="s">
        <v>43</v>
      </c>
      <c r="B1" s="13"/>
    </row>
    <row r="2" spans="1:2" ht="15.75" thickBot="1">
      <c r="A2" s="5" t="s">
        <v>44</v>
      </c>
      <c r="B2" s="5" t="s">
        <v>45</v>
      </c>
    </row>
    <row r="3" spans="1:2">
      <c r="A3" s="16" t="s">
        <v>46</v>
      </c>
      <c r="B3" s="17" t="s">
        <v>47</v>
      </c>
    </row>
    <row r="4" spans="1:2">
      <c r="A4" s="18" t="s">
        <v>48</v>
      </c>
      <c r="B4" s="19" t="s">
        <v>49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_A02_SR">
    <tabColor theme="3" tint="0.59999389629810485"/>
    <outlinePr summaryBelow="0" summaryRight="0"/>
  </sheetPr>
  <dimension ref="A1:B7"/>
  <sheetViews>
    <sheetView workbookViewId="0">
      <pane xSplit="1" ySplit="2" topLeftCell="B3" activePane="bottomRight" state="frozen"/>
      <selection pane="topRight" activeCell="B1" sqref="B1"/>
      <selection pane="bottomLeft" activeCell="A3" sqref="A3"/>
      <selection pane="bottomRight" activeCell="B4" sqref="B4"/>
    </sheetView>
  </sheetViews>
  <sheetFormatPr defaultColWidth="10.28515625" defaultRowHeight="15"/>
  <cols>
    <col min="1" max="1" width="27.28515625" style="20" bestFit="1" customWidth="1"/>
    <col min="2" max="2" width="90.7109375" style="20" bestFit="1" customWidth="1"/>
    <col min="3" max="16384" width="10.28515625" style="20"/>
  </cols>
  <sheetData>
    <row r="1" spans="1:2" s="4" customFormat="1" ht="18.75">
      <c r="A1" s="1" t="s">
        <v>50</v>
      </c>
      <c r="B1" s="13" t="s">
        <v>3</v>
      </c>
    </row>
    <row r="2" spans="1:2" ht="15.75" thickBot="1">
      <c r="A2" s="5" t="s">
        <v>44</v>
      </c>
      <c r="B2" s="5" t="s">
        <v>51</v>
      </c>
    </row>
    <row r="3" spans="1:2">
      <c r="A3" s="21" t="s">
        <v>52</v>
      </c>
      <c r="B3" s="22" t="b">
        <v>0</v>
      </c>
    </row>
    <row r="4" spans="1:2">
      <c r="A4" s="21" t="s">
        <v>53</v>
      </c>
      <c r="B4" s="21"/>
    </row>
    <row r="5" spans="1:2">
      <c r="A5" s="21" t="s">
        <v>54</v>
      </c>
      <c r="B5" s="21"/>
    </row>
    <row r="6" spans="1:2">
      <c r="A6" s="21" t="s">
        <v>55</v>
      </c>
      <c r="B6" s="21"/>
    </row>
    <row r="7" spans="1:2">
      <c r="A7" s="23" t="s">
        <v>56</v>
      </c>
      <c r="B7" s="23" t="s">
        <v>406</v>
      </c>
    </row>
  </sheetData>
  <dataValidations count="2">
    <dataValidation type="list" allowBlank="1" showInputMessage="1" showErrorMessage="1" sqref="B3">
      <formula1>"TRUE, FALSE"</formula1>
    </dataValidation>
    <dataValidation type="list" allowBlank="1" showInputMessage="1" showErrorMessage="1" sqref="B7">
      <formula1>"Oracle,MySQL,MSSQL"</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_A01_SC">
    <tabColor theme="3" tint="0.59999389629810485"/>
    <outlinePr summaryBelow="0" summaryRight="0"/>
  </sheetPr>
  <dimension ref="A1:C26"/>
  <sheetViews>
    <sheetView zoomScaleNormal="100" workbookViewId="0">
      <pane xSplit="2" ySplit="2" topLeftCell="C3" activePane="bottomRight" state="frozen"/>
      <selection activeCell="C38" sqref="C38"/>
      <selection pane="topRight" activeCell="C38" sqref="C38"/>
      <selection pane="bottomLeft" activeCell="C38" sqref="C38"/>
      <selection pane="bottomRight" activeCell="C14" sqref="C14"/>
    </sheetView>
  </sheetViews>
  <sheetFormatPr defaultColWidth="10.42578125" defaultRowHeight="15"/>
  <cols>
    <col min="1" max="1" width="28.28515625" style="9" bestFit="1" customWidth="1"/>
    <col min="2" max="2" width="47.28515625" style="12" bestFit="1" customWidth="1"/>
    <col min="3" max="3" width="78.140625" style="12" bestFit="1" customWidth="1"/>
    <col min="4" max="16384" width="10.42578125" style="9"/>
  </cols>
  <sheetData>
    <row r="1" spans="1:3" s="4" customFormat="1" ht="18.75">
      <c r="A1" s="1" t="s">
        <v>2</v>
      </c>
      <c r="B1" s="2" t="s">
        <v>3</v>
      </c>
      <c r="C1" s="3"/>
    </row>
    <row r="2" spans="1:3" s="4" customFormat="1" ht="15.75" thickBot="1">
      <c r="A2" s="5" t="s">
        <v>4</v>
      </c>
      <c r="B2" s="5" t="s">
        <v>5</v>
      </c>
      <c r="C2" s="5" t="s">
        <v>6</v>
      </c>
    </row>
    <row r="3" spans="1:3" s="6" customFormat="1">
      <c r="A3" s="6" t="s">
        <v>7</v>
      </c>
      <c r="B3" s="7" t="s">
        <v>8</v>
      </c>
      <c r="C3" s="7"/>
    </row>
    <row r="4" spans="1:3" s="6" customFormat="1">
      <c r="A4" s="6" t="s">
        <v>9</v>
      </c>
      <c r="B4" s="7" t="s">
        <v>10</v>
      </c>
      <c r="C4" s="7" t="s">
        <v>277</v>
      </c>
    </row>
    <row r="5" spans="1:3">
      <c r="A5" s="6" t="s">
        <v>9</v>
      </c>
      <c r="B5" s="8" t="s">
        <v>11</v>
      </c>
      <c r="C5" s="8" t="b">
        <v>1</v>
      </c>
    </row>
    <row r="6" spans="1:3">
      <c r="A6" s="6" t="s">
        <v>9</v>
      </c>
      <c r="B6" s="8" t="s">
        <v>12</v>
      </c>
      <c r="C6" s="8" t="s">
        <v>13</v>
      </c>
    </row>
    <row r="7" spans="1:3" s="6" customFormat="1">
      <c r="A7" s="6" t="s">
        <v>9</v>
      </c>
      <c r="B7" s="7" t="s">
        <v>14</v>
      </c>
      <c r="C7" s="7"/>
    </row>
    <row r="8" spans="1:3" s="6" customFormat="1">
      <c r="A8" s="6" t="s">
        <v>9</v>
      </c>
      <c r="B8" s="7" t="s">
        <v>15</v>
      </c>
      <c r="C8" s="7" t="s">
        <v>16</v>
      </c>
    </row>
    <row r="9" spans="1:3">
      <c r="A9" s="6" t="s">
        <v>9</v>
      </c>
      <c r="B9" s="7" t="s">
        <v>17</v>
      </c>
      <c r="C9" s="7" t="b">
        <v>1</v>
      </c>
    </row>
    <row r="10" spans="1:3">
      <c r="A10" s="6" t="s">
        <v>9</v>
      </c>
      <c r="B10" s="8" t="s">
        <v>18</v>
      </c>
      <c r="C10" s="8" t="b">
        <v>0</v>
      </c>
    </row>
    <row r="11" spans="1:3" s="6" customFormat="1">
      <c r="A11" s="6" t="s">
        <v>9</v>
      </c>
      <c r="B11" s="7" t="s">
        <v>19</v>
      </c>
      <c r="C11" s="7"/>
    </row>
    <row r="12" spans="1:3" s="6" customFormat="1">
      <c r="A12" s="6" t="s">
        <v>9</v>
      </c>
      <c r="B12" s="7" t="s">
        <v>20</v>
      </c>
      <c r="C12" s="7" t="b">
        <v>1</v>
      </c>
    </row>
    <row r="13" spans="1:3">
      <c r="A13" s="6" t="s">
        <v>9</v>
      </c>
      <c r="B13" s="7" t="s">
        <v>21</v>
      </c>
      <c r="C13" s="7" t="b">
        <v>1</v>
      </c>
    </row>
    <row r="14" spans="1:3" ht="45">
      <c r="A14" s="6" t="s">
        <v>22</v>
      </c>
      <c r="B14" s="10" t="s">
        <v>23</v>
      </c>
      <c r="C14" s="10" t="s">
        <v>426</v>
      </c>
    </row>
    <row r="15" spans="1:3">
      <c r="A15" s="11" t="s">
        <v>24</v>
      </c>
      <c r="B15" s="10" t="s">
        <v>25</v>
      </c>
      <c r="C15" s="8">
        <v>9898</v>
      </c>
    </row>
    <row r="16" spans="1:3">
      <c r="A16" s="11" t="s">
        <v>24</v>
      </c>
      <c r="B16" s="10" t="s">
        <v>26</v>
      </c>
      <c r="C16" s="8"/>
    </row>
    <row r="17" spans="1:3">
      <c r="A17" s="6" t="s">
        <v>27</v>
      </c>
      <c r="B17" s="10" t="s">
        <v>28</v>
      </c>
      <c r="C17" s="8"/>
    </row>
    <row r="18" spans="1:3">
      <c r="A18" s="6" t="s">
        <v>27</v>
      </c>
      <c r="B18" s="10" t="s">
        <v>29</v>
      </c>
      <c r="C18" s="10"/>
    </row>
    <row r="19" spans="1:3">
      <c r="A19" s="6" t="s">
        <v>30</v>
      </c>
      <c r="B19" s="10" t="s">
        <v>31</v>
      </c>
      <c r="C19" s="8">
        <v>4</v>
      </c>
    </row>
    <row r="20" spans="1:3">
      <c r="A20" s="6" t="s">
        <v>32</v>
      </c>
      <c r="B20" s="10" t="s">
        <v>33</v>
      </c>
      <c r="C20" s="8" t="b">
        <v>1</v>
      </c>
    </row>
    <row r="21" spans="1:3">
      <c r="A21" s="6" t="s">
        <v>32</v>
      </c>
      <c r="B21" s="8" t="s">
        <v>34</v>
      </c>
      <c r="C21" s="8" t="b">
        <v>1</v>
      </c>
    </row>
    <row r="22" spans="1:3">
      <c r="A22" s="6" t="s">
        <v>32</v>
      </c>
      <c r="B22" s="10" t="s">
        <v>35</v>
      </c>
      <c r="C22" s="8" t="b">
        <v>0</v>
      </c>
    </row>
    <row r="23" spans="1:3">
      <c r="A23" s="6" t="s">
        <v>32</v>
      </c>
      <c r="B23" s="10" t="s">
        <v>36</v>
      </c>
      <c r="C23" s="8" t="b">
        <v>0</v>
      </c>
    </row>
    <row r="24" spans="1:3">
      <c r="A24" s="6" t="s">
        <v>37</v>
      </c>
      <c r="B24" s="10" t="s">
        <v>38</v>
      </c>
      <c r="C24" s="8" t="b">
        <v>0</v>
      </c>
    </row>
    <row r="25" spans="1:3">
      <c r="A25" s="6" t="s">
        <v>39</v>
      </c>
      <c r="B25" s="10" t="s">
        <v>40</v>
      </c>
      <c r="C25" s="10"/>
    </row>
    <row r="26" spans="1:3">
      <c r="A26" s="6" t="s">
        <v>41</v>
      </c>
      <c r="B26" s="10" t="s">
        <v>42</v>
      </c>
      <c r="C26" s="8" t="b">
        <v>1</v>
      </c>
    </row>
  </sheetData>
  <dataValidations count="6">
    <dataValidation type="list" allowBlank="1" showInputMessage="1" showErrorMessage="1" sqref="C4">
      <formula1>"##JavaApiPackage, ##RestApi"</formula1>
    </dataValidation>
    <dataValidation type="list" allowBlank="1" showInputMessage="1" showErrorMessage="1" sqref="C26 C24">
      <formula1>"TRUE, FALSE"</formula1>
    </dataValidation>
    <dataValidation type="list" allowBlank="1" showInputMessage="1" showErrorMessage="1" sqref="C19">
      <formula1>"1,2,3,4"</formula1>
    </dataValidation>
    <dataValidation type="list" allowBlank="1" showInputMessage="1" showErrorMessage="1" sqref="C8">
      <formula1>"Jar,War"</formula1>
    </dataValidation>
    <dataValidation type="list" allowBlank="1" showInputMessage="1" showErrorMessage="1" sqref="C9:C10 C12:C13 C5 C20:C23">
      <formula1>"TRUE,FALSE"</formula1>
    </dataValidation>
    <dataValidation type="list" allowBlank="1" showInputMessage="1" showErrorMessage="1" sqref="C6">
      <formula1>"Debug, High Performance, Standard"</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66</vt:i4>
      </vt:variant>
    </vt:vector>
  </HeadingPairs>
  <TitlesOfParts>
    <vt:vector size="75" baseType="lpstr">
      <vt:lpstr>Instructions</vt:lpstr>
      <vt:lpstr>CRUD</vt:lpstr>
      <vt:lpstr>##RestApi</vt:lpstr>
      <vt:lpstr>##RestEndpointGroup</vt:lpstr>
      <vt:lpstr>DBSchema</vt:lpstr>
      <vt:lpstr>DataDictionary</vt:lpstr>
      <vt:lpstr>%%AppConfig</vt:lpstr>
      <vt:lpstr>%%SysRuntime</vt:lpstr>
      <vt:lpstr>%%SysConfig</vt:lpstr>
      <vt:lpstr>DataDictionary!AlchemyJ_DataDic</vt:lpstr>
      <vt:lpstr>DataDictionary!AlchemyJ_DataDicErrorDef</vt:lpstr>
      <vt:lpstr>'%%SysConfig'!AlchemyJ_DBConStr</vt:lpstr>
      <vt:lpstr>DBSchema!AlchemyJ_DBSchema</vt:lpstr>
      <vt:lpstr>AlchemyJ_DBType</vt:lpstr>
      <vt:lpstr>AlchemyJ_FunctionPoint</vt:lpstr>
      <vt:lpstr>'##RestApi'!AlchemyJ_Maven_Dependency</vt:lpstr>
      <vt:lpstr>'##RestApi'!AlchemyJ_Name_ConfType</vt:lpstr>
      <vt:lpstr>'##RestEndpointGroup'!AlchemyJ_Name_ConfType</vt:lpstr>
      <vt:lpstr>AlchemyJ_Parameter_Separator</vt:lpstr>
      <vt:lpstr>AlchemyJ_Parameter_Type_Separator</vt:lpstr>
      <vt:lpstr>AlchemyJ_REST_Sec_Authority_List</vt:lpstr>
      <vt:lpstr>AlchemyJ_REST_Sec_UserName</vt:lpstr>
      <vt:lpstr>'##RestEndpointGroup'!AlchemyJ_RestCls_EndPoint_Def</vt:lpstr>
      <vt:lpstr>'##RestEndpointGroup'!AlchemyJ_RestCls_EndPointParam_Def</vt:lpstr>
      <vt:lpstr>'##RestEndpointGroup'!AlchemyJ_RestCls_EndPointRespOperation_Def</vt:lpstr>
      <vt:lpstr>'##RestEndpointGroup'!AlchemyJ_RestCls_Nm_Cls_Name</vt:lpstr>
      <vt:lpstr>'##RestEndpointGroup'!AlchemyJ_RestCls_Nm_Request_Mapping</vt:lpstr>
      <vt:lpstr>'##RestEndpointGroup'!AlchemyJ_RestCls_OutputSettings</vt:lpstr>
      <vt:lpstr>'##RestEndpointGroup'!AlchemyJ_RestCls_Sheet_Def</vt:lpstr>
      <vt:lpstr>'##RestApi'!AlchemyJ_RestPkg_Additional_Config</vt:lpstr>
      <vt:lpstr>'##RestApi'!AlchemyJ_RestPkg_Advance_Settings</vt:lpstr>
      <vt:lpstr>'##RestApi'!AlchemyJ_RestPkg_AlchemyJ_Setting_Def</vt:lpstr>
      <vt:lpstr>'##RestApi'!AlchemyJ_RestPkg_ClassList_Def</vt:lpstr>
      <vt:lpstr>'##RestApi'!AlchemyJ_RestPkg_DataSource_Setting_Def</vt:lpstr>
      <vt:lpstr>'##RestApi'!AlchemyJ_RestPkg_Doc_Config</vt:lpstr>
      <vt:lpstr>'##RestApi'!AlchemyJ_RestPkg_ET_Setting_Def</vt:lpstr>
      <vt:lpstr>'##RestApi'!AlchemyJ_RestPkg_LDAP_Settings_Def</vt:lpstr>
      <vt:lpstr>'##RestApi'!AlchemyJ_RestPkg_Nm_API_Name</vt:lpstr>
      <vt:lpstr>'##RestApi'!AlchemyJ_RestPkg_Nm_Ext_Log_Env_Var</vt:lpstr>
      <vt:lpstr>'##RestApi'!AlchemyJ_RestPkg_Nm_Ext_Log_Location</vt:lpstr>
      <vt:lpstr>'##RestApi'!AlchemyJ_RestPkg_Nm_Ext_Yml_Env_Var</vt:lpstr>
      <vt:lpstr>'##RestApi'!AlchemyJ_RestPkg_Nm_Ext_Yml_Location</vt:lpstr>
      <vt:lpstr>'##RestApi'!AlchemyJ_RestPkg_Nm_Mv_Artifact_ID</vt:lpstr>
      <vt:lpstr>'##RestApi'!AlchemyJ_RestPkg_Nm_Mv_Group_ID</vt:lpstr>
      <vt:lpstr>'##RestApi'!AlchemyJ_RestPkg_Nm_Mv_Version</vt:lpstr>
      <vt:lpstr>'##RestApi'!AlchemyJ_RestPkg_Nm_Output_File_Name</vt:lpstr>
      <vt:lpstr>'##RestApi'!AlchemyJ_RestPkg_Nm_Pkg_Name</vt:lpstr>
      <vt:lpstr>'##RestApi'!AlchemyJ_RestPkg_Response_Code_Config</vt:lpstr>
      <vt:lpstr>'##RestApi'!AlchemyJ_RestPkg_SessionManagement_Setting_Def</vt:lpstr>
      <vt:lpstr>'##RestApi'!AlchemyJ_RestPkg_Setting</vt:lpstr>
      <vt:lpstr>AlchemyJ_RunningFlag</vt:lpstr>
      <vt:lpstr>'%%SysConfig'!AlchemyJ_SysProp_AlchemyJ_Installation_Folder</vt:lpstr>
      <vt:lpstr>'%%SysConfig'!AlchemyJ_SysProp_Auto_Detect_Sheet_Range</vt:lpstr>
      <vt:lpstr>'%%SysConfig'!AlchemyJ_SysProp_Build_Jar_Output_Folder</vt:lpstr>
      <vt:lpstr>'%%SysConfig'!AlchemyJ_SysProp_Build_Open_Output_Folder</vt:lpstr>
      <vt:lpstr>'%%SysConfig'!AlchemyJ_SysProp_Build_Output_Folder</vt:lpstr>
      <vt:lpstr>'%%SysConfig'!AlchemyJ_SysProp_Build_Target_Sheet</vt:lpstr>
      <vt:lpstr>'%%SysConfig'!AlchemyJ_SysProp_Build_Type</vt:lpstr>
      <vt:lpstr>'%%SysConfig'!AlchemyJ_SysProp_Compilation_Mode</vt:lpstr>
      <vt:lpstr>'%%SysConfig'!AlchemyJ_SysProp_Compile_Project_Into_A_Package</vt:lpstr>
      <vt:lpstr>'%%SysConfig'!AlchemyJ_SysProp_Copy_Package_File_To_Folder</vt:lpstr>
      <vt:lpstr>'%%SysConfig'!AlchemyJ_SysProp_Debug_Command_Action_File_Location</vt:lpstr>
      <vt:lpstr>'%%SysConfig'!AlchemyJ_SysProp_Debug_Console_Port</vt:lpstr>
      <vt:lpstr>'%%SysConfig'!AlchemyJ_SysProp_Enable_AJ_Library_Function_Check</vt:lpstr>
      <vt:lpstr>'%%SysConfig'!AlchemyJ_SysProp_License_File_Env_Variable</vt:lpstr>
      <vt:lpstr>'%%SysConfig'!AlchemyJ_SysProp_License_File_Location</vt:lpstr>
      <vt:lpstr>'%%SysConfig'!AlchemyJ_SysProp_Package_Workbooks</vt:lpstr>
      <vt:lpstr>'%%SysConfig'!AlchemyJ_SysProp_Run_Validation_Before_Build_Project</vt:lpstr>
      <vt:lpstr>'%%SysConfig'!AlchemyJ_SysProp_Show_Response_Dialog</vt:lpstr>
      <vt:lpstr>'%%SysConfig'!AlchemyJ_SysProp_Start_Server_When_Finished</vt:lpstr>
      <vt:lpstr>'%%SysConfig'!AlchemyJ_SysProp_Studio_Log_Level</vt:lpstr>
      <vt:lpstr>'%%SysConfig'!AlchemyJ_SysProp_Validation_Bypass_Error</vt:lpstr>
      <vt:lpstr>'%%SysConfig'!AlchemyJ_SysProp_Validation_Result_New_Sheet</vt:lpstr>
      <vt:lpstr>'%%SysConfig'!AlchemyJ_SysProp_Validation_Turn_Off_Warning_Message</vt:lpstr>
      <vt:lpstr>CRUD!CRUD_Filter_Condition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P-W05</dc:creator>
  <cp:lastModifiedBy>P-W05</cp:lastModifiedBy>
  <dcterms:created xsi:type="dcterms:W3CDTF">2020-04-23T02:25:44Z</dcterms:created>
  <dcterms:modified xsi:type="dcterms:W3CDTF">2020-05-06T07:49:55Z</dcterms:modified>
</cp:coreProperties>
</file>